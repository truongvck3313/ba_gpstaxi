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ruongtq.BA\PycharmProjects\pythonProject\ba_gpstaxi\"/>
    </mc:Choice>
  </mc:AlternateContent>
  <bookViews>
    <workbookView xWindow="0" yWindow="0" windowWidth="24000" windowHeight="10770"/>
  </bookViews>
  <sheets>
    <sheet name="Checklist" sheetId="1" r:id="rId1"/>
    <sheet name="Khác" sheetId="2" r:id="rId2"/>
    <sheet name="Trường hợp" sheetId="3" r:id="rId3"/>
  </sheets>
  <definedNames>
    <definedName name="_xlnm._FilterDatabase" localSheetId="0" hidden="1">Checklist!$G$1:$L$424</definedName>
  </definedNames>
  <calcPr calcId="162913"/>
</workbook>
</file>

<file path=xl/calcChain.xml><?xml version="1.0" encoding="utf-8"?>
<calcChain xmlns="http://schemas.openxmlformats.org/spreadsheetml/2006/main">
  <c r="E8" i="1" l="1"/>
  <c r="D8" i="1"/>
  <c r="C8" i="1"/>
  <c r="E7" i="1"/>
  <c r="D7" i="1"/>
  <c r="C7" i="1"/>
  <c r="E6" i="1"/>
  <c r="D6" i="1"/>
  <c r="C6" i="1"/>
  <c r="E5" i="1"/>
  <c r="D5" i="1"/>
  <c r="C5" i="1"/>
  <c r="E4" i="1"/>
  <c r="D4" i="1"/>
  <c r="C4" i="1"/>
</calcChain>
</file>

<file path=xl/sharedStrings.xml><?xml version="1.0" encoding="utf-8"?>
<sst xmlns="http://schemas.openxmlformats.org/spreadsheetml/2006/main" count="2088" uniqueCount="1178">
  <si>
    <t>WEBGPS SYSTEM - CHECKLIST AUTOMATION TEST GPS TAXI</t>
  </si>
  <si>
    <t>Link</t>
  </si>
  <si>
    <t>Test Case</t>
  </si>
  <si>
    <t>Total</t>
  </si>
  <si>
    <t>Pass</t>
  </si>
  <si>
    <t>Fail</t>
  </si>
  <si>
    <t>Gọi telegram lỗi nghiêm trọng</t>
  </si>
  <si>
    <t>Mức độ 1</t>
  </si>
  <si>
    <t>Độ ưu tiên</t>
  </si>
  <si>
    <t>Số điện thoại(Tag)</t>
  </si>
  <si>
    <t>Mức độ 2</t>
  </si>
  <si>
    <t>+84 359 667 694(@truongtran1504)</t>
  </si>
  <si>
    <t>Mức độ 3</t>
  </si>
  <si>
    <t>Mức độ 4</t>
  </si>
  <si>
    <t>+84 359 667 694(@truongtran1506)</t>
  </si>
  <si>
    <t>Nghiêm trọng</t>
  </si>
  <si>
    <t>MÃ</t>
  </si>
  <si>
    <t>TÊN SỰ KIỆN</t>
  </si>
  <si>
    <t>TÀI KHOẢN</t>
  </si>
  <si>
    <t>CÁC BƯỚC THAO TÁC</t>
  </si>
  <si>
    <t>KẾT QUẢ MONG MUỐN</t>
  </si>
  <si>
    <t>KẾT QUẢ THỨC TẾ</t>
  </si>
  <si>
    <t>TRẠNG THÁI</t>
  </si>
  <si>
    <t>MỨC ĐỘ 1</t>
  </si>
  <si>
    <t>MỨC ĐỘ 2</t>
  </si>
  <si>
    <t>MỨC ĐỘ 3</t>
  </si>
  <si>
    <t>MỨC ĐỘ 4</t>
  </si>
  <si>
    <t>NGHIÊM TRỌNG</t>
  </si>
  <si>
    <t>ẢNH</t>
  </si>
  <si>
    <t>GHI CHÚ</t>
  </si>
  <si>
    <t>I.Màn hình đăng nhập</t>
  </si>
  <si>
    <t>1.Đăng nhập hệ thống</t>
  </si>
  <si>
    <t>Login01</t>
  </si>
  <si>
    <t>Đăng nhập với tài khoản" Bình anh"</t>
  </si>
  <si>
    <t>Tài khoản bình anh</t>
  </si>
  <si>
    <t>1. Tại màn hình đăng nhập, login với tài khoản, mật khẩu</t>
  </si>
  <si>
    <t>Đăng nhập thành công vào trang "Giám sát", Hiện thị đoạn text "Công ty Bình Anh"</t>
  </si>
  <si>
    <t>Công ty Bình Anh</t>
  </si>
  <si>
    <t>x</t>
  </si>
  <si>
    <t>Login02</t>
  </si>
  <si>
    <t>Đăng nhập với tài khoản "Đối tác"</t>
  </si>
  <si>
    <t>Đăng nhập thành công vào trang "Giám sát", Hiện thị trường ""</t>
  </si>
  <si>
    <t>tạm chưa có tài khoản</t>
  </si>
  <si>
    <t>Login03</t>
  </si>
  <si>
    <t>Đăng nhập với tài khoản "Bình thường"</t>
  </si>
  <si>
    <t>"auto_binhthuong", "Aa@12345678"</t>
  </si>
  <si>
    <t>Đăng nhập thành công vào trang "Giám sát", Hiện thị xe ở danh sách xe</t>
  </si>
  <si>
    <t>16B102025</t>
  </si>
  <si>
    <t>Login03_DangNhap_TaiKhoanBinhThuong.png</t>
  </si>
  <si>
    <t>Login04</t>
  </si>
  <si>
    <t>Đăng nhập với tài khoản "Lái xe"</t>
  </si>
  <si>
    <t>"auto_laixe", "Aa@12345678"</t>
  </si>
  <si>
    <t>Login04_DangNhap_TaiKhoanLaiXe.png</t>
  </si>
  <si>
    <t>Login05</t>
  </si>
  <si>
    <t>Đăng nhập với tài khoản "Quản lý nhà nước"</t>
  </si>
  <si>
    <t>"auto_quanlynhanuoc", "Aa@12345678"</t>
  </si>
  <si>
    <t>Login06</t>
  </si>
  <si>
    <t>Đăng nhập với tài khoản "Quản trị"</t>
  </si>
  <si>
    <t>"admin999998", "Aa@12345678"</t>
  </si>
  <si>
    <t>Login06_DangNhap_TaiKhoanQuanTri.png</t>
  </si>
  <si>
    <t>Login07</t>
  </si>
  <si>
    <t>Đăng nhập với tài khoản không có quyền giám sát</t>
  </si>
  <si>
    <t>"auto_khongcogiamsat", "Aa@12345678"</t>
  </si>
  <si>
    <t>Không có chức năng: "Giám sát"</t>
  </si>
  <si>
    <t>Login08</t>
  </si>
  <si>
    <t>Đăng nhập với tài khoản đúng, mật khẩu sai</t>
  </si>
  <si>
    <t>"truongtq@bagroup.vn", "11111"</t>
  </si>
  <si>
    <t>Hiển thị thông báo "Tài khoản hoặc mật khẩu không hợp lệ. Vui lòng  đăng nhập lại hoặc liên hệ tới quản trị để được trợ giúp"</t>
  </si>
  <si>
    <t>Login09</t>
  </si>
  <si>
    <t>Ghi nhớ đăng nhập - Tích chọn</t>
  </si>
  <si>
    <t xml:space="preserve">1. Tại màn hình đăng nhập, nhập tài khoản, mật khẩu
2. Tích chọn checkbox "Nhớ đăng nhập" &gt; Đăng nhập
3. Mở lại trang "https://taxi.binhanhcorp.com/Auth/Auth"
</t>
  </si>
  <si>
    <t>Tự động login vào hệ thống hiện thị chức năng: "Giám sát"</t>
  </si>
  <si>
    <t>Đã bỏ</t>
  </si>
  <si>
    <t>Login10</t>
  </si>
  <si>
    <t>Ghi nhớ đăng nhập - Bỏ chọn</t>
  </si>
  <si>
    <t xml:space="preserve">1. Tại màn hình đăng nhập, nhập tài khoản, mật khẩu
2. Bỏ tích chọn checkbox "Nhớ đăng nhập" &gt; Đăng nhập
3. Mở lại trang "https://taxi.binhanhcorp.com/Auth/Auth"
</t>
  </si>
  <si>
    <t>trở lại màn hình đăng nhập, hiện thị button "Quên mật khẩu"</t>
  </si>
  <si>
    <t>Quên mật khẩu</t>
  </si>
  <si>
    <t>Login11</t>
  </si>
  <si>
    <t>1. Tại màn hình đăng nhập, chọn chức năng "Quên mật khẩu"
2. Nhập các trường thông tin:
- Tên tài khoản: *: auto_quenmatkhau
- Số điện thoại: *: 0359667694
3. Chọn button "Gửi mã xác minh" &gt; Check hiển thị</t>
  </si>
  <si>
    <t>Hiển thị trường:
1 "Mã OTP xác minh: *" 
hoặc 
2."Mã xác minh được gửi qua zalo của số điện thoại này"</t>
  </si>
  <si>
    <t>Mã xác minh được gửi qua zalo của số điện thoại này</t>
  </si>
  <si>
    <t>2.Link liên kết</t>
  </si>
  <si>
    <t>Login12</t>
  </si>
  <si>
    <t>Click vào link giới thiệu - Trang chủ</t>
  </si>
  <si>
    <t>1. Màn hình đăng nhập &gt; chọn "icon Trang chủ"
2. Check hiển thị url trang</t>
  </si>
  <si>
    <t>Chuyển tới trang "https://bagps.vn"</t>
  </si>
  <si>
    <t>https://bagps.vn/ba-gps-chung-suc-cung-cong-dong-vuot-qua-dai-dich-covid19-d437</t>
  </si>
  <si>
    <t>Login13</t>
  </si>
  <si>
    <t>Click vào link giới thiệu - Số điện thoại</t>
  </si>
  <si>
    <t>1. Màn hình đăng nhập &gt; chọn 
"icon SDT"</t>
  </si>
  <si>
    <t>Chỉ check hiển thị có số: "19006415"</t>
  </si>
  <si>
    <t xml:space="preserve"> 19006415</t>
  </si>
  <si>
    <t>Login14</t>
  </si>
  <si>
    <t>Click vào link giới thiệu - Bagps.vn</t>
  </si>
  <si>
    <t>1. Màn hình đăng nhập &gt; chọn "icon bagps.vn"
2. Check hiển thị url trang</t>
  </si>
  <si>
    <t>Login15</t>
  </si>
  <si>
    <t>Click vào link giới thiệu - Ch Play</t>
  </si>
  <si>
    <t>1. Màn hình đăng nhập &gt; chọn "icon Ch Play"
2.Check hiển thị tên App</t>
  </si>
  <si>
    <t>Mở tab với và chuyển tới trang Ch Play có app: "BA Taxi"</t>
  </si>
  <si>
    <t>BA Taxi</t>
  </si>
  <si>
    <t>Login16</t>
  </si>
  <si>
    <t>Click vào link giới thiệu - App store</t>
  </si>
  <si>
    <t>1. Màn hình đăng nhập &gt; chọn "icon App Store"
2. Check hiển thị tên App</t>
  </si>
  <si>
    <t>Mở tab với và chuyển tới trang App Store có app: "BA TAXI"</t>
  </si>
  <si>
    <t>BA TAXI</t>
  </si>
  <si>
    <t>Login17</t>
  </si>
  <si>
    <t>Click vào link giới thiệu - Thông tin giải pháp</t>
  </si>
  <si>
    <t>1. Màn hình đăng nhập &gt; chọn "THÔNG TIN VÀ GIẢI PHÁP"</t>
  </si>
  <si>
    <t>Chuyển tới trang "https://bagps.vn/san-pham-va-giai-phap"</t>
  </si>
  <si>
    <t>https://bagps.vn/san-pham-va-giai-phap</t>
  </si>
  <si>
    <t>Login18</t>
  </si>
  <si>
    <t>Click vào link giới thiệu - Về chúng tôi</t>
  </si>
  <si>
    <t>1. Màn hình đăng nhập &gt; chọn "VỀ CHÚNG TÔI"</t>
  </si>
  <si>
    <t>Chuyển tới trang "https://bagps.vn/gioi-thieu/"</t>
  </si>
  <si>
    <t>https://bagps.vn/gioi-thieu/</t>
  </si>
  <si>
    <t>Login19</t>
  </si>
  <si>
    <t>Click vào link giới thiệu - Mạng lưới</t>
  </si>
  <si>
    <t>1. Màn hình đăng nhập &gt; chọn "MẠNG LƯỚI"</t>
  </si>
  <si>
    <t>Chuyển tới trang "https://bagps.vn/mang-luoi?position_id=0&amp;branch_type=1&amp;search="</t>
  </si>
  <si>
    <t>https://bagps.vn/mang-luoi?position_id=0&amp;branch_type=1&amp;search=</t>
  </si>
  <si>
    <t>Login20</t>
  </si>
  <si>
    <t>Click vào link giới thiệu - Hướng dẫn sử dụng</t>
  </si>
  <si>
    <t>1. Màn hình đăng nhập &gt; chọn "HƯỚNG DẪN SỬ DỤNG"</t>
  </si>
  <si>
    <t>Chuyển tới trang "https://www.youtube.com/channel/UC0vfDfFTKXXV_d7m86b1MhQ"</t>
  </si>
  <si>
    <t>Login21</t>
  </si>
  <si>
    <t>Click vào link giới thiệu - Hướng dẫn đóng phí</t>
  </si>
  <si>
    <t>1. Màn hình đăng nhập &gt; chọn "HƯỚNG DẪN ĐÓNG PHÍ"</t>
  </si>
  <si>
    <t>Chuyển tới trang "https://bagps.vn/huong-dan-dong-phi-dich-vu-ba-gps-d610"</t>
  </si>
  <si>
    <t>https://bagps.vn/huong-dan-dong-phi-dich-vu-ba-gps-d610</t>
  </si>
  <si>
    <t>Login22</t>
  </si>
  <si>
    <t>Click vào link giới thiệu -Tin tức ngành GTVT</t>
  </si>
  <si>
    <t>1. Màn hình đăng nhập &gt; chọn "TIN TỨC NGÀNH GTVT"</t>
  </si>
  <si>
    <t>Chuyển tới trang "https://bagps.vn/category/tin-tuc/"</t>
  </si>
  <si>
    <t>https://bagps.vn/category/tin-tuc/</t>
  </si>
  <si>
    <t>II.Giám sát(Giám sát xe)</t>
  </si>
  <si>
    <t>1.Icon khác</t>
  </si>
  <si>
    <t>1.1 Icon map</t>
  </si>
  <si>
    <t>case 3.1 phải cùng mức độ</t>
  </si>
  <si>
    <t>Minitor01</t>
  </si>
  <si>
    <t>Icon phóng to</t>
  </si>
  <si>
    <t>1. Login vào hệ thống tại trang "giám sát xe"
2. Click vào icon "phóng to" &gt; Check hiển thị</t>
  </si>
  <si>
    <t>Chỉ check có hiển thị icon hay không</t>
  </si>
  <si>
    <t>Minitor02</t>
  </si>
  <si>
    <t>Icon thu nhỏ</t>
  </si>
  <si>
    <t>1. Login vào hệ thống tại trang "giám sát xe"
2. Click vào icon "thu nhỏ" &gt; Check hiển thị</t>
  </si>
  <si>
    <t>Minitor03</t>
  </si>
  <si>
    <t>Icon chọn loại map</t>
  </si>
  <si>
    <t>1. Login vào hệ thống tại trang "giám sát xe"
2. Click vào icon "chọn loại map" &gt; Check hiển thị</t>
  </si>
  <si>
    <t>Hiển thị 3 loại bản đồ gồm: Bình anh, Bản đồ, vệ tinh</t>
  </si>
  <si>
    <t xml:space="preserve"> Bình Anh,  Bản đồ,  Vệ tinh</t>
  </si>
  <si>
    <t>1.2 Danh sách cảnh báo truyền C08 Bộ Công an</t>
  </si>
  <si>
    <t>Goto: DNTN Quỳnh Hoa [423]</t>
  </si>
  <si>
    <t>Minitor04</t>
  </si>
  <si>
    <t>Icon Danh sách cảnh báo truyền C08 Bộ Công an</t>
  </si>
  <si>
    <t>1. Goto tới công ty 423 &gt; chuyển tới trang "giám sát xe"
2. Chọn icon "Danh sách cảnh báo truyền C08 Bộ Công an" &gt; Check hiển thị</t>
  </si>
  <si>
    <t>Mở popup: "Danh sách cảnh báo truyền C08 Bộ Công an"</t>
  </si>
  <si>
    <t>Danh sách cảnh báo truyền C08 Bộ Công an</t>
  </si>
  <si>
    <t>Minitor05</t>
  </si>
  <si>
    <t>Thông tin doanh nghiệp</t>
  </si>
  <si>
    <t>1. Tại popup: "Danh sách cảnh báo truyền C08 Bộ Công an"
2. Chọn chữ đỏ gạch chân "x đơn vị" thiếu thông tin &gt; check hiển thị</t>
  </si>
  <si>
    <t>Mở tab mới và chuyển tới trang: "1. Thông tin doanh nghiệp", hiển thị trường: " Loại hình kinh doanh"</t>
  </si>
  <si>
    <t>Đơn vị kinh doanh vận tải</t>
  </si>
  <si>
    <t>Minitor06</t>
  </si>
  <si>
    <t>Thông tin xe</t>
  </si>
  <si>
    <t>1. Tại popup: "Danh sách cảnh báo truyền C08 Bộ Công an"
2. Chọn chữ đỏ gạch chân "x phương tiện" thiếu thông tin &gt; check hiển thị</t>
  </si>
  <si>
    <t>Mở tab mới và chuyển tới trang: "2. Thông tin lái xe", hiển thị trường: "Tìm kiếm lái xe theo nhóm đội"</t>
  </si>
  <si>
    <t>Loại hình kinh doanh</t>
  </si>
  <si>
    <t>Minitor07</t>
  </si>
  <si>
    <t>Thông tin lái xe</t>
  </si>
  <si>
    <t>1. Tại popup: "Danh sách cảnh báo truyền C08 Bộ Công an"
2. Chọn chữ đỏ gạch chân "x lái xe" thiếu thông tin &gt; check hiển thị</t>
  </si>
  <si>
    <t>Mở tab mới và chuyển tới trang: "3. Thông tin xe", hiển thị trường: "Loại bằng"</t>
  </si>
  <si>
    <t>Loại bằng</t>
  </si>
  <si>
    <t>Minitor08</t>
  </si>
  <si>
    <t>Icon Làm mới</t>
  </si>
  <si>
    <t>1. Tại popup: "Danh sách cảnh báo truyền C08 Bộ Công an"
2. Chọn icon "Làm mới" &gt; gọi tới api: "https://taxi.binhanhcorp.com/Online/GetAllDataBcaMissingInfo"</t>
  </si>
  <si>
    <t>Status code trả về: 200</t>
  </si>
  <si>
    <t>Status code: 200</t>
  </si>
  <si>
    <t>Minitor09</t>
  </si>
  <si>
    <t>Nhóm phương tiện</t>
  </si>
  <si>
    <t>1. Tại popup: "Danh sách cảnh báo truyền C08 Bộ Công an"
2. Chọn combobox "Nhóm phương tiện" &gt; Check hiển thị</t>
  </si>
  <si>
    <t>Hiển thị danh sách nhóm phương tiện</t>
  </si>
  <si>
    <t xml:space="preserve"> 20A 66658</t>
  </si>
  <si>
    <t>Minitor10</t>
  </si>
  <si>
    <t>Phương tiện</t>
  </si>
  <si>
    <t>1. Tại popup: "Danh sách cảnh báo truyền C08 Bộ Công an"
2. Chọn combobox "Phương tiện" &gt; Check hiển thị</t>
  </si>
  <si>
    <t>Hiển thị danh sách phương tiện</t>
  </si>
  <si>
    <t>20A72117</t>
  </si>
  <si>
    <t>Minitor11</t>
  </si>
  <si>
    <t>Check thông tin danh sách</t>
  </si>
  <si>
    <t>1. Tại popup: "Danh sách cảnh báo truyền C08 Bộ Công an"
2. Check danh sách các trường thông tin: STT, Số hiệu xe, Biển số xe, Nội dung cảnh báo, Ngày bỏ tích truyền, Người bỏ tích truyền</t>
  </si>
  <si>
    <t>- Các trường có thể trống: Ngày bỏ tích truyền, Người bỏ tích truyền
- Các trường không được trống: STT, Số hiệu xe, Biển số xe, Nội dung cảnh báo</t>
  </si>
  <si>
    <t xml:space="preserve">STT: 1
Số hiệu xe: 878
Biển số xe: 20A31878
Nội dung cảnh báo: Xe truyền định vị
Ngày bỏ tích truyền: 
Người bỏ tích truyền: </t>
  </si>
  <si>
    <t>Minitor12</t>
  </si>
  <si>
    <t>Icon Truyền BCA</t>
  </si>
  <si>
    <t>1. Tại popup: "Danh sách cảnh báo truyền C08 Bộ Công an"
2. Chọn icon "Truyền BCA" &gt; Check hiển thị</t>
  </si>
  <si>
    <t>Minitor13</t>
  </si>
  <si>
    <t>Checkbox Xác nhận bỏ 
truyền</t>
  </si>
  <si>
    <t>1. Tại popup: "Danh sách cảnh báo truyền C08 Bộ Công an"
2. Check hiển thị checkbox</t>
  </si>
  <si>
    <t>Chỉ check có hiển thị hay không</t>
  </si>
  <si>
    <t>Minitor14</t>
  </si>
  <si>
    <t>Checkbox Tôi cam kết các thông tin khai báo là chính xác.</t>
  </si>
  <si>
    <t>Minitor15</t>
  </si>
  <si>
    <t>Lưu</t>
  </si>
  <si>
    <t>1. Tại popup: "Danh sách cảnh báo truyền C08 Bộ Công an"
2. Check hiển thị button "Lưu"</t>
  </si>
  <si>
    <t>Minitor16</t>
  </si>
  <si>
    <t>Đóng</t>
  </si>
  <si>
    <t>1. Tại popup: "Danh sách cảnh báo truyền C08 Bộ Công an"
2. Chọn button "Đóng"</t>
  </si>
  <si>
    <t>Đóng popup: "Danh sách cảnh báo truyền C08 Bộ Công an"</t>
  </si>
  <si>
    <t>1.3 Danh sách xe đã ẩn</t>
  </si>
  <si>
    <t>Minitor17</t>
  </si>
  <si>
    <t>Icon Danh sách xe đã ẩn</t>
  </si>
  <si>
    <t>1. Login vào hệ thống
2. Tại trang giám sát &gt; Chọn icon "Danh sách xe đã ẩn" &gt; Check hiển thị</t>
  </si>
  <si>
    <t>Mở popup: "Danh sách xe đang ẩn"</t>
  </si>
  <si>
    <t>Danh sách xe đang ẩn</t>
  </si>
  <si>
    <t>Minitor18</t>
  </si>
  <si>
    <t>Thêm xe ẩn</t>
  </si>
  <si>
    <t>1. Tại popup: "Danh sách xe đang ẩn"
2. Chọn button "Thêm xe ẩn", nhập các trường thông tin:
- Phương tiện*:  99A18470 - 99A18470
- Trạng thái*: Ẩn trên giám sát
- Truyền BCA*: Dừng truyền
- Nguyên nhân*: Xe sửa chữa,bảo dưỡng
- Ghi chú*: Trường test Ẩn trên giám sát
=&gt; Chọn button "Lưu" &gt; OK &gt; check hiển thị</t>
  </si>
  <si>
    <t>Thêm mới thành công, hiện thị xe trong danh sách ẩn</t>
  </si>
  <si>
    <t>99A18470</t>
  </si>
  <si>
    <t>Minitor19</t>
  </si>
  <si>
    <t>1. Tại popup: "Danh sách xe đang ẩn"
2. Nhập thông tin tìm kiếm:
- Nhập phương tiện: 99A18470 - 99A18470 &gt; Tích chọn
=&gt; Tìm kiếm &gt; Check hiển thị</t>
  </si>
  <si>
    <t>Danh sách xe ẩn hiện thị đúng "Biển số" đã nhập</t>
  </si>
  <si>
    <t>Minitor20</t>
  </si>
  <si>
    <t>Nguyên nhân</t>
  </si>
  <si>
    <t>1. Tại popup: "Danh sách xe đang ẩn"
2. Nhập thông tin tìm kiếm:
- Chọn nguyên nhân: Xe sửa chữa,bảo dưỡng
=&gt; Tìm kiếm &gt; Check hiển thị</t>
  </si>
  <si>
    <t>Không có trường check nguyên nhân nên chỉ cần hiển thị bản ghi</t>
  </si>
  <si>
    <t>Xe sửa chữa,bảo dưỡng</t>
  </si>
  <si>
    <t>Minitor21</t>
  </si>
  <si>
    <t>Trạng thái</t>
  </si>
  <si>
    <t>1. Tại popup: "Danh sách xe đang ẩn"
2. Nhập thông tin tìm kiếm:
- Chọn Trạng thái: Ẩn trên giám sát
=&gt; Tìm kiếm &gt; Check hiển thị</t>
  </si>
  <si>
    <t>Trường Trạng thái hiển thị: "Ẩn trên giám sát"</t>
  </si>
  <si>
    <t>Ẩn trên giám sát</t>
  </si>
  <si>
    <t>Minitor22</t>
  </si>
  <si>
    <t>Checkbox "Chỉ hiển thị xe dừng truyền TCĐB"</t>
  </si>
  <si>
    <t>1. Tại popup: "Danh sách xe đang ẩn"
2. Nhập thông tin tìm kiếm:
- Tích chọn checkbox: Chỉ hiển thị xe dừng truyền TCĐB
=&gt; Tìm kiếm &gt; Check hiển thị</t>
  </si>
  <si>
    <t>Trường Truyền BCA hiển thị: "Dừng truyền"</t>
  </si>
  <si>
    <t>Minitor22_DanhSachXeDangAn_CheckboxDungTruyen.png</t>
  </si>
  <si>
    <t>ko thêm mới đc xe nên search ko có xe</t>
  </si>
  <si>
    <t>Minitor23</t>
  </si>
  <si>
    <t>Checkbox "Tắt thông báo xe đến hạn phí"</t>
  </si>
  <si>
    <t>1. Tại popup: "Danh sách xe đang ẩn"
2. Nhập thông tin tìm kiếm:
- Tích chọn checkbox: Tắt thông báo xe đến hạn phí
=&gt; Tìm kiếm &gt; Check hiển thị</t>
  </si>
  <si>
    <t>Không có dữ liệu check nên chỉ check hiển thị checkbox</t>
  </si>
  <si>
    <t>Minitor24</t>
  </si>
  <si>
    <t>Check Danh sách xe đang ẩn</t>
  </si>
  <si>
    <t>1. Tại popup: "Danh sách xe đang ẩn"
2. Check hiển thị các trường: STT, Số xe, Biển số, Trạng thái, Truyền BCA, Ngày truyền, Hạn phí, Người thực hiện, Ngày thực hiện</t>
  </si>
  <si>
    <t>- Các trường không được trống: STT, Số xe, Biển số, Trạng thái, Truyền BCA, Người thực hiện, Ngày thực hiện
- các trường có thể trống: Ngày truyền, Hạn phí</t>
  </si>
  <si>
    <t>STT: 1
Số xe: 99A18470
Biển số: 99A18470
Trạng thái: Ẩn trên giám sát
Truyền BCA: Truyền
Ngày truyền: 24/12/2025Hạn phí: 
Người thực hiện: auto_binhthuong
Ngày thực hiện: 29/12/2025</t>
  </si>
  <si>
    <t>Minitor25</t>
  </si>
  <si>
    <t>Icon Lịch sử</t>
  </si>
  <si>
    <t>1. Tại popup: "Danh sách xe đang ẩn"
2. Chọn icon "Lịch sử" &gt; Mở popup "Lịch sử ẩn xe" &lt; check thông tin danh sách</t>
  </si>
  <si>
    <t>- Các trường không được trống: STT, Biển số, Trạng thái, Người thực hiện,
Ngày thực hiện
- các trường có thể trống: Nguyên nhân, Ghi chú</t>
  </si>
  <si>
    <t>STT: 1
Biển số: 99A18470
Trạng thái: Hiển thị
Nguyên nhân: 
Ghi chú: Bỏ xe ẩn từ ds xe ẩn - web
Người thực hiện: auto_binhthuongNgày thực hiện: 17:10:10 29/12/2025</t>
  </si>
  <si>
    <t>Minitor26</t>
  </si>
  <si>
    <t>Loại bỏ</t>
  </si>
  <si>
    <t>1. Tại popup: "Danh sách xe đang ẩn"
2. Tìm kiếm phương tiện " 99A18470 - 99A18470"
3. Chọn icon "Loại bỏ" &gt; Không tích truyền &gt; Check hiển thị</t>
  </si>
  <si>
    <t>Xe chọn biến mất khỏi danh sách ẩn</t>
  </si>
  <si>
    <t>Minitor26_DanhSachXeDangAn_LoaiBo</t>
  </si>
  <si>
    <t>đang lỗi ko bỏ đc xe ẩn</t>
  </si>
  <si>
    <t>1.4 Search</t>
  </si>
  <si>
    <t>Minitor27</t>
  </si>
  <si>
    <t>Icon Search</t>
  </si>
  <si>
    <t>1. Login vào hệ thống
2. Tại trang giám sát &gt; Chọn icon "Search" &gt; Check hiển thị</t>
  </si>
  <si>
    <t>Mở tab mới và chuyển tới trang: "Google Maps"</t>
  </si>
  <si>
    <t>Google Maps</t>
  </si>
  <si>
    <t>1.5 Giám sát nhiều xe</t>
  </si>
  <si>
    <t>Minitor28</t>
  </si>
  <si>
    <t>Icon Giám sát nhiều xe</t>
  </si>
  <si>
    <t>1. Login vào hệ thống
2. Tại trang giám sát &gt; Chọn icon "Giám sát nhiều xe" &gt; Check hiển thị</t>
  </si>
  <si>
    <t>Mở tab mới và chuyển tới trang "Giám sát nhiều xe", hiện thị popup: "Hiện trạng"</t>
  </si>
  <si>
    <t>Hiện trạng</t>
  </si>
  <si>
    <t>1.6 Đo khoảng cách</t>
  </si>
  <si>
    <t>Minitor29</t>
  </si>
  <si>
    <t>Icon Đo khoảng cách</t>
  </si>
  <si>
    <t>1. Login vào hệ thống
2. Tại trang giám sát &gt; Chọn icon "Đo khoảng cách" &gt; Check hiển thị</t>
  </si>
  <si>
    <t>Mở popup: "Đo khoảng cách"</t>
  </si>
  <si>
    <t>Đo khoảng cách</t>
  </si>
  <si>
    <t>Minitor30</t>
  </si>
  <si>
    <t xml:space="preserve">Chọn 2 điểm </t>
  </si>
  <si>
    <t>1. Tại popup: "Đo khoảng cách"
2. Click vào bản đồ 2 điểm bất kỳ</t>
  </si>
  <si>
    <t>Hiển thị đường kẻ nối 2 điểm</t>
  </si>
  <si>
    <t>Minitor31</t>
  </si>
  <si>
    <t>Tổng khoảng cách(km)</t>
  </si>
  <si>
    <t>1. Tại popup: "Đo khoảng cách" và đã chọn 2 điểm
2. Chọn loại: "km" &gt; Check hiển thị</t>
  </si>
  <si>
    <t>"Tổng khoảng cách" khác 0.00</t>
  </si>
  <si>
    <t>3.21</t>
  </si>
  <si>
    <t>Minitor32</t>
  </si>
  <si>
    <t>Tổng khoảng cách(mét)</t>
  </si>
  <si>
    <t>1. Tại popup: "Đo khoảng cách" và đã chọn 2 điểm
2. Chọn loại: "mét" &gt; Check hiển thị</t>
  </si>
  <si>
    <t>3,211.52</t>
  </si>
  <si>
    <t>Minitor33</t>
  </si>
  <si>
    <t>Tổng khoảng cách(dặm)</t>
  </si>
  <si>
    <t>1. Tại popup: "Đo khoảng cách" và đã chọn 2 điểm
2. Chọn loại: "dặm" &gt; Check hiển thị</t>
  </si>
  <si>
    <t>1.00</t>
  </si>
  <si>
    <t>Minitor34</t>
  </si>
  <si>
    <t>Thiết lập lại</t>
  </si>
  <si>
    <t>1. Tại popup: "Đo khoảng cách" và đã chọn 2 điểm
2. Chọn "Thiết lập lại" &gt; Check hiển thị</t>
  </si>
  <si>
    <t>"Tổng khoảng cách" = 0.00</t>
  </si>
  <si>
    <t>0.00</t>
  </si>
  <si>
    <t>1.7 Dẫn đường</t>
  </si>
  <si>
    <t>Minitor35</t>
  </si>
  <si>
    <t>Icon Dẫn đường</t>
  </si>
  <si>
    <t>1. Login vào hệ thống
2. Tại trang giám sát &gt; Chọn icon "Dẫn đường" &gt; Check hiển thị</t>
  </si>
  <si>
    <t>Mở tab mới và chuyển tới trang "Google Maps"</t>
  </si>
  <si>
    <t>1.8 Tra cước</t>
  </si>
  <si>
    <t>Minitor36</t>
  </si>
  <si>
    <t>Icon Tra cước</t>
  </si>
  <si>
    <t>1. Login vào hệ thống
2. Tại trang giám sát &gt; Chọn icon "Tra cước" &gt; Check hiển thị</t>
  </si>
  <si>
    <t>Tra cước</t>
  </si>
  <si>
    <t>Minitor37</t>
  </si>
  <si>
    <t>Tính tiền</t>
  </si>
  <si>
    <t>1. Tại popup: "Đo khoảng cách"
2. Nhập các trường thông tin:
- Loại xe: Spark LS
- Tuyến đường: hoàng văn thụ bắc giang
- Nhập số km: 50
- Tiền chiều đi(ko cho nhập):
- Tiền 2 chiều(ko cho nhập):
3. Chọn button "Tính tiền" Check hiển thị</t>
  </si>
  <si>
    <t>1. Tự tính tiền trường: Tiền chiều đi, Tiền 2 chiều
2. Hiện thị text: "Km mở cửa 0 đến 0,545 Km: 5000 (vnđ/Km).
Từ Km 0,545 đến Km 30: 10500 (vnđ/Km).
Từ Km 31 trở đi: 9000 (vnđ/Km)."</t>
  </si>
  <si>
    <t>Tiền chiều đi: 485.000
Tiền 2 chiều: 971.000
Km mở cửa 0 đến 0,545 Km: 5000 (vnđ/Km).Từ Km 0,545 đến Km 30: 10500 (vnđ/Km).Từ Km 31 trở đi: 9000 (vnđ/Km).</t>
  </si>
  <si>
    <t>1.9 Đặt lịch hẹn</t>
  </si>
  <si>
    <t>Minitor38</t>
  </si>
  <si>
    <t>Icon Đặt lịch hẹn</t>
  </si>
  <si>
    <t>1. Login vào hệ thống
2. Tại trang giám sát &gt; Chọn icon "Đặt lịch hẹn" &gt; Check hiển thị</t>
  </si>
  <si>
    <t>Mở popup: "Thêm mới thông tin lịch hẹn"</t>
  </si>
  <si>
    <t>Thêm mới thông tin lịch hẹn</t>
  </si>
  <si>
    <t>Minitor39</t>
  </si>
  <si>
    <t>Check nhập tất cả các trường</t>
  </si>
  <si>
    <t xml:space="preserve">1. Tại popup: "Thêm mới thông tin lịch hẹn"
2. Nhập và chọn các trường:
- Khách hàng(*): Trần Quang Trường
- Điện thoại(*): 0359667655
- Địa chỉ đón(*): Số 01 TT3, Khu đô thị Tây Nam Linh Đàm, Hoàng Mai, Hà Nội, Việt Nam
- Giờ đón(*): 08:00
- Nhắc trước( phút )(*): 20
- Ngày bắt đầu(*): Ngày hiện tại
- Chọn nhiều ngày: Tích chọn
- Ngày kết thúc(*): Ngày hiện tại
- Ngày áp dụng(*): Tích chọn (Tất cả, Thứ 2&gt;Chủ nhật)
- Lộ trình: Trường test đặt lịch hẹn
- Loại xe khách đặt, số lượng xe(*): Accent, 2
- Số hiệu xe: 1012
- Loại thanh toán: Đã thanh toán
- Nhóm khách: Hợp đồng
- Đặt cọc: 2000000
- Thực thu: 2500000
- Chi phí : 300000
- Người nhập(mặc định)
- Ghi chú: Trường test thêm mới lịch hẹn
</t>
  </si>
  <si>
    <t>Case này chỉ check nhập</t>
  </si>
  <si>
    <t>Minitor40</t>
  </si>
  <si>
    <t>Lưu và trở về</t>
  </si>
  <si>
    <t>1. Tại popup: "Thêm mới thông tin lịch hẹn"
2. Check hiển thị button "Lưu và trở về"</t>
  </si>
  <si>
    <t>Minitor41</t>
  </si>
  <si>
    <t>Lưu và tiếp tục</t>
  </si>
  <si>
    <t>1. Tại popup: "Thêm mới thông tin lịch hẹn"
2. Check hiển thị button "Lưu và tiếp tục"</t>
  </si>
  <si>
    <t>Minitor42</t>
  </si>
  <si>
    <t>Thoát</t>
  </si>
  <si>
    <t>1. Tại popup: "Thêm mới thông tin lịch hẹn"
2. Chọn button "Thoát" &gt; Check hiển thị</t>
  </si>
  <si>
    <t>Đóng popup</t>
  </si>
  <si>
    <t>1.10 Danh sách cuộc hẹn</t>
  </si>
  <si>
    <t>Minitor43</t>
  </si>
  <si>
    <t>Icon Danh sách cuộc hẹn</t>
  </si>
  <si>
    <t>1. Login vào hệ thống
2. Tại trang giám sát &gt; Chọn icon "Danh sách cuộc hẹn" &gt; Check hiển thị</t>
  </si>
  <si>
    <t>Mở tab mới và chuyển tới trang "THÔNG TIN LỊCH HẸN"</t>
  </si>
  <si>
    <t xml:space="preserve">  Thông tin lịch hẹn</t>
  </si>
  <si>
    <t>1.11 Cảnh báo vùng sảnh</t>
  </si>
  <si>
    <t>Goto: Nội Bài [369]</t>
  </si>
  <si>
    <t>Minitor44</t>
  </si>
  <si>
    <t>Icon Cảnh báo vùng sảnh</t>
  </si>
  <si>
    <t>1. Login vào hệ thống
2. Tại trang giám sát &gt; Chọn icon "Cảnh báo vùng sảnh" &gt; Check hiển thị</t>
  </si>
  <si>
    <t>Mở popup: "Thông tin chi tiết cảnh báo Vùng/Sảnh/Xe ngoại thành"</t>
  </si>
  <si>
    <t>Thông tin chi tiết cảnh báo Vùng/Sảnh/Xe ngoại thành</t>
  </si>
  <si>
    <t>Minitor45</t>
  </si>
  <si>
    <t>Check thông tin "Vùng"</t>
  </si>
  <si>
    <t>1. Tại popup: "Thông tin chi tiết cảnh báo Vùng/Sảnh/Xe ngoại thành"
2. Chọn chức năng "Vùng" &gt; Check hiển thị</t>
  </si>
  <si>
    <t>Hiển thị các trường: Tên vùng, Số xe, Chi tiết</t>
  </si>
  <si>
    <t>Tên vùng: Ba Đình
Số xe: 8
Chi tiết: 101.xoa - 65 - 20db_Xoa - 221khóa_Xoa - 44db_Xoa - 90b - 129 - 02923</t>
  </si>
  <si>
    <t>Minitor46</t>
  </si>
  <si>
    <t>Check thông tin "Sảnh"</t>
  </si>
  <si>
    <t>1. Tại popup: "Thông tin chi tiết cảnh báo Vùng/Sảnh/Xe ngoại thành"
2. Chọn chức năng "Sảnh" &gt; Check hiển thị</t>
  </si>
  <si>
    <t>Hiển thị các trường: Tên sảnh, Số xe , trong sảnh, Tối thiểu, Tối đa, Chi tiết
(Hiện chưa tìm được cty có dữ liệu)</t>
  </si>
  <si>
    <t>Không có dữ liệu</t>
  </si>
  <si>
    <t>Minitor47</t>
  </si>
  <si>
    <t>Check thông tin "Xe ngoại thành"</t>
  </si>
  <si>
    <t>1. Tại popup: "Thông tin chi tiết cảnh báo Vùng/Sảnh/Xe ngoại thành"
2. Chọn chức năng "Xe ngoại thành" &gt; Check hiển thị</t>
  </si>
  <si>
    <t>Hiển thị các trường: Tên, Số xe, Chi tiết</t>
  </si>
  <si>
    <t>Tên: Xe ngoại thành
Số xe: 685
Chi tiết: 123456789 - 2934915_Xoa - 126C</t>
  </si>
  <si>
    <t>Minitor47_CanhBaoVungSanh_Vung.png</t>
  </si>
  <si>
    <t>Minitor48</t>
  </si>
  <si>
    <t>Cập nhật</t>
  </si>
  <si>
    <t>1. Tại popup: "Thông tin chi tiết cảnh báo Vùng/Sảnh/Xe ngoại thành"
2. Chọn button "Cập nhật" &gt; gọi tới api "https://taxi.binhanhcorp.com/ZoneWarning/LoadListVehilceInOperatingArea"</t>
  </si>
  <si>
    <t>Minitor49</t>
  </si>
  <si>
    <t>1. Tại popup: "Thông tin chi tiết cảnh báo Vùng/Sảnh/Xe ngoại thành"
2. Chọn button "Thoát"</t>
  </si>
  <si>
    <t>2. Danh sách xe</t>
  </si>
  <si>
    <t>Minitor50</t>
  </si>
  <si>
    <t>Nhóm đội</t>
  </si>
  <si>
    <t>"batest424", "Aa@12345678"</t>
  </si>
  <si>
    <t>1. Login vào hệ thống, tại trang giám sát xe
2. Chọn combobox "Nhóm đội" &gt; &gt; Chọn 1 nhóm phương tiện ngẫu nhiên</t>
  </si>
  <si>
    <t>Hiển thị danh sách xe của 1 nhóm và phải có xe</t>
  </si>
  <si>
    <t>A Xe Điện</t>
  </si>
  <si>
    <t>Minitor51</t>
  </si>
  <si>
    <t>1. Login vào hệ thống, tại trang giám sát xe
2. Chọn combobox "Trạng thái"</t>
  </si>
  <si>
    <t xml:space="preserve">Hiển thị các trạng thái: - Hoạt động </t>
  </si>
  <si>
    <t xml:space="preserve">- Hoạt động </t>
  </si>
  <si>
    <t>Minitor52</t>
  </si>
  <si>
    <t>Tìm kiếm xe</t>
  </si>
  <si>
    <t>1. Login vào hệ thống, tại trang giám sát xe
2. Chọn icon loại tìm kiếm &gt; Chọn "Tìm kiếm xe"
3. Nhập 1 số hiệu xe ngẫu nhiên dưới danh sách
4. Chọn icon Tìm kiếm &gt;Check hiển thị</t>
  </si>
  <si>
    <t>Mở popup "Hiện trạng xe:" đúng với số hiệu xe đã nhập</t>
  </si>
  <si>
    <t>Hiện trạng xe: 16C102025-16C102025_C</t>
  </si>
  <si>
    <t>Minitor53</t>
  </si>
  <si>
    <t>Tìm địa chỉ</t>
  </si>
  <si>
    <t>1. Login vào hệ thống, tại trang giám sát xe
2. Chọn icon loại tìm kiếm &gt; Chọn "Tìm địa chỉ" &gt; Check hiển thị</t>
  </si>
  <si>
    <t>Minitor54</t>
  </si>
  <si>
    <t>Tìm tên điểm</t>
  </si>
  <si>
    <t xml:space="preserve">1. Login vào hệ thống, tại trang giám sát xe
2. Chọn icon loại tìm kiếm &gt; Chọn "Tìm tên điểm"
3. Nhập "Điểm test tìm kiếm" &gt; Tìm kiếm </t>
  </si>
  <si>
    <t>Hiện thị: Tên điểm, Địa chỉ, Vĩ độ, Kinh độ</t>
  </si>
  <si>
    <t>Điểm test tìm kiếm ( Điểm test tìm kiếm1 )</t>
  </si>
  <si>
    <t>Minitor55</t>
  </si>
  <si>
    <t>Tìm tọa độ</t>
  </si>
  <si>
    <t>1. Login vào hệ thống, tại trang giám sát xe
2. Chọn icon loại tìm kiếm &gt; Chọn "Tìm tọa độ"
3. Nhập "20.981636, 105.829496" &gt; Chọn icon Tìm kiếm &gt;Check hiển thị</t>
  </si>
  <si>
    <t>Hiện thị:  Địa chỉ, Vĩ độ, Kinh độ</t>
  </si>
  <si>
    <t>Vĩ độ : 20.981636 , Kinh độ : 105.829496</t>
  </si>
  <si>
    <t>2.1 Check trạng thái - Công ty không có nhóm</t>
  </si>
  <si>
    <t>Goto: CÔNG TY TNHH MẬN VŨ [450]</t>
  </si>
  <si>
    <t>Minitor56</t>
  </si>
  <si>
    <t>1. Login vào hệ thống, tại trang giám sát xe
2. Chọn trạng thái: "- Hoạt động"</t>
  </si>
  <si>
    <t>Tổng xe chọn = Số lượng xe ở danh sách</t>
  </si>
  <si>
    <t>Tổng xe chọn: 0
Danh sách xe: 0
Tổng xe     : 24</t>
  </si>
  <si>
    <t>Minitor57</t>
  </si>
  <si>
    <t xml:space="preserve"> -- Có khách</t>
  </si>
  <si>
    <t>1. Login vào hệ thống, tại trang giám sát xe
2. Chọn trạng thái: "-- Có khách"</t>
  </si>
  <si>
    <t>Minitor58</t>
  </si>
  <si>
    <t>-- Không khách</t>
  </si>
  <si>
    <t>1. Login vào hệ thống, tại trang giám sát xe
2. Chọn trạng thái: "-- Không khách"</t>
  </si>
  <si>
    <t>Minitor59</t>
  </si>
  <si>
    <t>-- Di chuyển</t>
  </si>
  <si>
    <t>1. Login vào hệ thống, tại trang giám sát xe
2. Chọn trạng thái: "-- Di chuyển"</t>
  </si>
  <si>
    <t>Minitor60</t>
  </si>
  <si>
    <t xml:space="preserve"> -- Dừng đỗ</t>
  </si>
  <si>
    <t>1. Login vào hệ thống, tại trang giám sát xe
2. Chọn trạng thái: "-- Dừng đỗ"</t>
  </si>
  <si>
    <t>Minitor61</t>
  </si>
  <si>
    <t>-- Nổ máy</t>
  </si>
  <si>
    <t>1. Login vào hệ thống, tại trang giám sát xe
2. Chọn trạng thái: "-- Nổ máy"</t>
  </si>
  <si>
    <t>Minitor62</t>
  </si>
  <si>
    <t>-- Tắt máy</t>
  </si>
  <si>
    <t>1. Login vào hệ thống, tại trang giám sát xe
2. Chọn trạng thái: "-- Tắt máy"</t>
  </si>
  <si>
    <t>Minitor63</t>
  </si>
  <si>
    <t>- Mất tín hiệu</t>
  </si>
  <si>
    <t>1. Login vào hệ thống, tại trang giám sát xe
2. Chọn trạng thái: "- Mất tín hiệu"</t>
  </si>
  <si>
    <t>Tổng xe chọn: 24
Danh sách xe: 24
Tổng xe     : 24</t>
  </si>
  <si>
    <t>Minitor64</t>
  </si>
  <si>
    <t>- Khóa đồng hồ</t>
  </si>
  <si>
    <t>1. Login vào hệ thống, tại trang giám sát xe
2. Chọn trạng thái: "- Khóa đồng hồ"</t>
  </si>
  <si>
    <t>Minitor65</t>
  </si>
  <si>
    <t>- Mất kết nối đồng hồ</t>
  </si>
  <si>
    <t>1. Login vào hệ thống, tại trang giám sát xe
2. Chọn trạng thái: '- Mất kết nối đồng hồ"</t>
  </si>
  <si>
    <t>Tổng xe chọn: 14
Danh sách xe: 14
Tổng xe     : 24</t>
  </si>
  <si>
    <t>Minitor66</t>
  </si>
  <si>
    <t>Tất cả</t>
  </si>
  <si>
    <t>1. Login vào hệ thống, tại trang giám sát xe
2. Chọn trạng thái: 'Tất cả"</t>
  </si>
  <si>
    <t>Tổng xe chọn = Số lượng xe ở danh sách = Tổng xe</t>
  </si>
  <si>
    <t>2.2 Check trạng thái - Công ty có nhóm</t>
  </si>
  <si>
    <t>Cty CP Điện Tử TH Viễn Thông EG [9040]</t>
  </si>
  <si>
    <t>Minitor67</t>
  </si>
  <si>
    <t>- Hoạt động</t>
  </si>
  <si>
    <t>Tổng xe chọn: 9
Danh sách xe: 9
Tổng xe     : 20</t>
  </si>
  <si>
    <t>Minitor68</t>
  </si>
  <si>
    <t>Tổng xe chọn: 2
Danh sách xe: 2
Tổng xe     : 20</t>
  </si>
  <si>
    <t>Minitor69</t>
  </si>
  <si>
    <t>Tổng xe chọn: 7
Danh sách xe: 7
Tổng xe     : 20</t>
  </si>
  <si>
    <t>Minitor70</t>
  </si>
  <si>
    <t>Tổng xe chọn: 4
Danh sách xe: 4
Tổng xe     : 20</t>
  </si>
  <si>
    <t>Minitor71</t>
  </si>
  <si>
    <t>Tổng xe chọn: 5
Danh sách xe: 5
Tổng xe     : 20</t>
  </si>
  <si>
    <t>Minitor72</t>
  </si>
  <si>
    <t>Minitor73</t>
  </si>
  <si>
    <t>Minitor74</t>
  </si>
  <si>
    <t>Tổng xe chọn: 11
Danh sách xe: 11
Tổng xe     : 20</t>
  </si>
  <si>
    <t>Minitor75</t>
  </si>
  <si>
    <t>- Báo nghỉ</t>
  </si>
  <si>
    <t>1. Login vào hệ thống, tại trang giám sát xe
2. Chọn trạng thái: "- Báo nghỉ"</t>
  </si>
  <si>
    <t>Tổng xe chọn: 1
Danh sách xe: 1
Tổng xe     : 20</t>
  </si>
  <si>
    <t>Minitor76</t>
  </si>
  <si>
    <t>Tổng xe chọn: 0
Danh sách xe: 0
Tổng xe     : 20</t>
  </si>
  <si>
    <t>Minitor77</t>
  </si>
  <si>
    <t>Minitor78</t>
  </si>
  <si>
    <t>Tổng xe chọn: 20
Danh sách xe: 20
Tổng xe     : 20</t>
  </si>
  <si>
    <t>2.3 Icon Cập nhật mới dữ liệu</t>
  </si>
  <si>
    <t>Goto: Taxi Én Vàng [424]</t>
  </si>
  <si>
    <t>Minitor79</t>
  </si>
  <si>
    <t>Cập nhật mới dữ liệu</t>
  </si>
  <si>
    <t>1. Login vào hệ thống, tại trang giám sát xe
2. Chọn icon "Cập nhật mới dữ liệu" &gt; Gọi tới api 
"https://taxi.binhanhcorp.com/Online/RequestSyn?_=1762996804300"</t>
  </si>
  <si>
    <t>2.4 Icon Hiện trạng hệ thống</t>
  </si>
  <si>
    <t>Minitor80</t>
  </si>
  <si>
    <t>Hiện trạng hệ thống</t>
  </si>
  <si>
    <t>1. Login vào hệ thống, tại trang giám sát xe
2. Chọn icon "Hiện trạng hệ thống"</t>
  </si>
  <si>
    <t>Mở popup: "Hiện trạng hệ thống : hh:mm dd/mm/yyyy"</t>
  </si>
  <si>
    <t>Hiện trạng hệ thống : 17:36 29/12/2025</t>
  </si>
  <si>
    <t>Minitor81</t>
  </si>
  <si>
    <t>Có khách</t>
  </si>
  <si>
    <t>1. Tại popup "Hiện trạng hệ thống"
2. Chọn trạng thái "Có khách" &gt; Check hiển thị</t>
  </si>
  <si>
    <t>- Các trường không được trống: STT, Số xe, Biển số, IMEI, Vgps/cơ, Thời gian, Km trong ngày, Khu vực
- các trường có thể trống: SIM</t>
  </si>
  <si>
    <t xml:space="preserve">STT: 1
Số xe: 1027
Biển số: 15E01249
IMEI: 866082070751525
SIM: 0843075914
Vgps/cơ: 0/0
Thời gian: 17:36:23 29/12/2025
Km trong ngày: 0
Khu vực: 8, Đường Đê, P. Kiến An, TP. Hải Phòng
</t>
  </si>
  <si>
    <t>Minitor82</t>
  </si>
  <si>
    <t>Không khách</t>
  </si>
  <si>
    <t>1. Tại popup "Hiện trạng hệ thống"
2. Chọn trạng thái "Không khách" &gt; Check hiển thị</t>
  </si>
  <si>
    <t xml:space="preserve">STT: 1
Số xe: 104
Biển số: 15A18684
IMEI: 866082070749511
SIM: 0794105053
Vgps/cơ: 0/0
Thời gian: 17:35:50 29/12/2025
Km trong ngày: 26.1
Khu vực: P. Kiến An, TP. Hải Phòng
</t>
  </si>
  <si>
    <t>Minitor83</t>
  </si>
  <si>
    <t>Mất tín hiệu</t>
  </si>
  <si>
    <t>1. Tại popup "Hiện trạng hệ thống"
2. Chọn trạng thái "Mất tín hiệu" &gt; Check hiển thị</t>
  </si>
  <si>
    <t xml:space="preserve">STT: 1
Số xe: 15H17978
Biển số: 15H17978
IMEI: 868351072930207
SIM: 
Vgps/cơ: 4/7
Thời gian: 06:45:40 08/12/2025
Km trong ngày: 0.05
Khu vực: Nam Pháp 1, P. Gia Viên, TP. Hải Phòng
</t>
  </si>
  <si>
    <t>Minitor84</t>
  </si>
  <si>
    <t>Danh sách xe hoạt động</t>
  </si>
  <si>
    <t>1. Tại popup "Hiện trạng hệ thống"
2. Chọn trạng thái "Danh sách xe hoạt động" &gt; Check hiển thị</t>
  </si>
  <si>
    <t>- Các trường không được trống: STT, Số xe, Số KM, Thời gian hoạt động</t>
  </si>
  <si>
    <t>STT: 1
Số xe: 1903
Số KM: 96.08
Thời gian hoạt động: 4h8</t>
  </si>
  <si>
    <t>Minitor85</t>
  </si>
  <si>
    <t>Tắt máy</t>
  </si>
  <si>
    <t>1. Tại popup "Hiện trạng hệ thống"
2. Chọn trạng thái "Tắt máy" &gt; Check hiển thị</t>
  </si>
  <si>
    <t>Minitor86</t>
  </si>
  <si>
    <t>Quá tốc độ</t>
  </si>
  <si>
    <t>1. Tại popup "Hiện trạng hệ thống"
2. Chọn trạng thái "Quá tốc độ" &gt; Check hiển thị</t>
  </si>
  <si>
    <t>- Các trường không được trống: STT, Số xe, Biển số, Vgps/cơ, Thời gian, Km trong ngày, Khu vực
- các trường có thể trống: IMEI, SIM</t>
  </si>
  <si>
    <t xml:space="preserve">STT: 1
Số xe: 15A41494_khoaBap_khoaBap_khoaBap
Biển số: 15A41494
IMEI: 
SIM: 
Vgps/cơ: 103/101
Thời gian: 15:42:35 11/09/2019
Km trong ngày: 227.57
Khu vực: Cao Tốc Hà Nội - Hải Phòng, X. An Hưng, TP. Hải Phòng
</t>
  </si>
  <si>
    <t>Minitor87</t>
  </si>
  <si>
    <t>Dừng đỗ lâu</t>
  </si>
  <si>
    <t>1. Tại popup "Hiện trạng hệ thống"
2. Chọn trạng thái "Dừng đỗ lâu" &gt; Check hiển thị</t>
  </si>
  <si>
    <t>- Các trường không được trống: STT, Số xe, Biển số, Dừng đỗ (phút), Thời gian, Km trong ngày, Khu vực
- các trường có thể trống: IMEI, SIM</t>
  </si>
  <si>
    <t>Minitor88</t>
  </si>
  <si>
    <t>Dừng xe nổ máy</t>
  </si>
  <si>
    <t>1. Tại popup "Hiện trạng hệ thống"
2. Chọn trạng thái "Dừng xe nổ máy" &gt; Check hiển thị</t>
  </si>
  <si>
    <t xml:space="preserve">STT: 1
Số xe: 2073
Biển số: 15E01108
IMEI: 860264051005537
SIM: 
Vgps/cơ: 0
Thời gian: 17:37:19 29/12/2025
Km trong ngày: 92.74
Khu vực: Lê Hồng Phong, P. Ngô Quyền, TP. Hải Phòng
</t>
  </si>
  <si>
    <t>Minitor89</t>
  </si>
  <si>
    <t>Khóa đồng hồ</t>
  </si>
  <si>
    <t>1. Tại popup "Hiện trạng hệ thống"
2. Chọn trạng thái "Khóa đồng hồ" &gt; Check hiển thị</t>
  </si>
  <si>
    <t>Minitor90</t>
  </si>
  <si>
    <t>Mất kết nối đồng hồ</t>
  </si>
  <si>
    <t>1. Tại popup "Hiện trạng hệ thống"
2. Chọn trạng thái "Mất kết nối đồng hồ" &gt; Check hiển thị</t>
  </si>
  <si>
    <t xml:space="preserve">STT: 1
Số xe: 105
Biển số: 15A35976
IMEI: 
SIM: 
Vgps/cơ: 0/0
Thời gian: 17:37:09 29/12/2025
Km trong ngày: 32.76
Khu vực: 25, Lê Đại Thanh, P. Kiến An, TP. Hải Phòng
</t>
  </si>
  <si>
    <t>Minitor91</t>
  </si>
  <si>
    <t>Xuất excel</t>
  </si>
  <si>
    <t>1. Tại popup "Hiện trạng hệ thống"
2. Chọn trạng thái "Có khách" &gt; Click button "Xuất Excel"</t>
  </si>
  <si>
    <t>Tải file exce hiện trạng hệ thống về máy
(Chỉ check tải, không check dữ liệu)</t>
  </si>
  <si>
    <t>2.5 Icon Ý nghĩa biểu tượng xe</t>
  </si>
  <si>
    <t>Minitor92</t>
  </si>
  <si>
    <t>Ý nghĩa biểu tượng xe</t>
  </si>
  <si>
    <t>1. Login vào hệ thống, tại trang giám sát xe
2. Chọn icon "Ý nghĩa biểu tượng xe"</t>
  </si>
  <si>
    <t>Mở popup: "Ý nghĩa màu sắc và biểu tượng của xe"</t>
  </si>
  <si>
    <t>Ý nghĩa màu sắc và biểu tượng của xe</t>
  </si>
  <si>
    <t>2.5 Icon Chia sẻ phương tiện</t>
  </si>
  <si>
    <t>Minitor93</t>
  </si>
  <si>
    <t>Chia sẻ phương tiện</t>
  </si>
  <si>
    <t>1. Login vào hệ thống, tại trang giám sát xe
2. Chọn icon "Chia sẻ phương tiện"</t>
  </si>
  <si>
    <t>Mở popup: "Chia sẻ phương tiện"</t>
  </si>
  <si>
    <t>Minitor94</t>
  </si>
  <si>
    <t>Nhập thông tin và sao 
chép</t>
  </si>
  <si>
    <t>1. Tại popup: "Chia sẻ phương tiện"
2. Nhập các trường thông tin:
- Chia sẻ phương tiện: Giám sát/Lộ trình
- Thời gian hết hạn link chia sẻ(Chỉ hiện thị ở loại Lộ trình)
- Nhóm phương tiện: Tất cả
- Phương tiện: 1 phương tiện ngẫu nhiên
- Bắt đầu chia sẻ: Giờ, Ngày hiện tại
- Kết thúc chia sẻ: Giờ + 30p, Ngày hiện tại
- Hiển thị điểm công ty: Tích chọn
- Tùy chọn hiển thị thông tin phương tiện: Tích chọn(mặc định)
3. Tạo và chia sẻ &gt; Chọn icon sao chép</t>
  </si>
  <si>
    <t>Hiển thị thông báo: "Sao chép thành công"</t>
  </si>
  <si>
    <t>https://taxi.binhanhcorp.com/ShareVehicles/Index?id=4ebd18a2-152e-4a97-b206-5665262ba758</t>
  </si>
  <si>
    <t>Minitor95</t>
  </si>
  <si>
    <t>Xem trước(Giám sát)</t>
  </si>
  <si>
    <t>1. Tại popup: "Chia sẻ phương tiện"
2. Chọn Chia sẻ phương tiện: "Giám sát" &gt; Nhập tất cả các trường thông tin &gt; Tạo và chia sẻ &gt; Xem trước</t>
  </si>
  <si>
    <t>Mở tab mới và hiện thị các trường: Thời gian xem còn lại, Phương tiện, Km/h, Thời gian, Biểm kiểm soát, Vận tốc GPS:, Địa chỉ:</t>
  </si>
  <si>
    <t>Thời gian xem còn lại: 00:29:33
Phương tiện: 1027 - 15E01249
Km/h: 0
Thời gian: 17:37
Biển kiểm soát: 15E01249
Vận tốc GPS: 0 km/h
Địa chỉ: 8, Đường Đê, P. Kiến An, TP. Hải Phòng</t>
  </si>
  <si>
    <t>Minitor96</t>
  </si>
  <si>
    <t>Xem trước(Lộ trình)</t>
  </si>
  <si>
    <t>Mở tab mới và hiện thị các trường: Thời gian xem còn lại, Phương tiện, Thời gian lộ trình, Địa điểm bắt đầu, Địa điểm kết thúc, Tổng quãng đường:</t>
  </si>
  <si>
    <t>Thời gian xem còn lại: 06:21:20
Phương tiện: 1027 - 15E01249
Thời gian lộ trình: 17:08 29/12/2025 - 17:38 29/12/2025
Địa điểm bắt đầu: 8, Đường Đê, P. Kiến An, TP. Hải Phòng
Địa điểm kết thúc: 8, Đường Đê, P. Kiến An, TP. Hải Phòng
Tổng quãng đường: 0.00 km</t>
  </si>
  <si>
    <t>2.6 Kiểm tra thời gian cập nhật xe</t>
  </si>
  <si>
    <t>Minitor97</t>
  </si>
  <si>
    <t>Kiểm tra xem dữ liệu của xe còn online không</t>
  </si>
  <si>
    <t xml:space="preserve">1. Login vào hệ thống
2. Tại trang giám sát &gt; Chọn 5 phương tiện ngẫu nhiên
3. Check api tương ứng của 5 phương tiện Api:"https://taxi.binhanhcorp.com/Online/InfoWindoGenerator?isLocked=false&amp;privateCode="
</t>
  </si>
  <si>
    <t>Api của xe tương ứng trả về &gt; 2p của (3/5) xe sẽ Fail</t>
  </si>
  <si>
    <t>Thời gian hiện tại: 2025-12-29 17:38:59.282438
Số xe 1: 104, gps_time: 17:37  29/12/2025
Số xe 2: 105, gps_time: 17:38  29/12/2025
Số xe 3: 1027, gps_time: 17:37  29/12/2025
Số xe 4: 1903, gps_time: 17:38  29/12/2025
Số xe 5: 1904, gps_time: 17:38  29/12/2025</t>
  </si>
  <si>
    <t>Minitor98</t>
  </si>
  <si>
    <t>So sánh tổng phương tiện trên web và tổng phương tiện API</t>
  </si>
  <si>
    <t>"taxihathanhhd1", "Aa@12345678"</t>
  </si>
  <si>
    <t>1. Login vào hệ thống
2. Check số lương xe trên danh sách
4. Check số lượng xe api: "
https://taxi.binhanhcorp.com/Common/AutoCompletePrivateCodeByUserWithHiddenVehicle"</t>
  </si>
  <si>
    <t>Số phương tiện web + Số lượng xe đang ẩn = Số phương tiện api</t>
  </si>
  <si>
    <t>Tổng xe danh sách: 20
Tổng xe api      : 20</t>
  </si>
  <si>
    <t>2.7 Check dữ liệu(Thông tin xe - Hiện trạng hệ thống - API)</t>
  </si>
  <si>
    <t>Minitor99</t>
  </si>
  <si>
    <t>Lấy dữ liệu để check</t>
  </si>
  <si>
    <t>1. Login vào hệ thống
2. Tại trang giám sát lấy dữ liệu xe:
- Đúp chuột vào phương tiện(Hiện trạng/Thông tin BGT)
- Gọi tới api: "/InfoWindoGenerator"
- Mở popup: "Hiện trạng hệ thống"</t>
  </si>
  <si>
    <t>Dữ liệu được lấy bao gồm: API, Thông tin xe, Hiện trạng hệ thống &gt; Lưu ở file excel "bangluudulieu_tamthoi.xlsx"</t>
  </si>
  <si>
    <t>Minitor100</t>
  </si>
  <si>
    <t>Vị trí</t>
  </si>
  <si>
    <t>So sánh dữ liệu: Thông tin xe, Popup hiện trạng</t>
  </si>
  <si>
    <t>Thông tin xe: Vị trí: 8, Đường Đê, P. Kiến An, TP. Hải Phòng
Popup hiện trạng: 8, Đường Đê, P. Kiến An, TP. Hải Phòng</t>
  </si>
  <si>
    <t>Minitor101</t>
  </si>
  <si>
    <t>Loại xe</t>
  </si>
  <si>
    <t>Trường không được trống</t>
  </si>
  <si>
    <t>Thông tin xe: Hyundai Grand I10 5 Số chỗ</t>
  </si>
  <si>
    <t>Minitor102</t>
  </si>
  <si>
    <t>Số chỗ</t>
  </si>
  <si>
    <t>So sánh dữ liệu: Api, Popup hiện trạng</t>
  </si>
  <si>
    <t>Thông tin xe: Hyundai Grand I10 5 Số chỗ
Api: 5</t>
  </si>
  <si>
    <t>Minitor103</t>
  </si>
  <si>
    <t>Ngày/Giờ</t>
  </si>
  <si>
    <t>So sánh dữ liệu: Api, Thông tin xe, Popup hiện trạng
(api được trễ 3p do xử lý)</t>
  </si>
  <si>
    <t>Thông tin xe: 17:39 29/12/2025
Api: 17:39  29/12/2025
Popup hiện trạng: 17:39:23 29/12/2025</t>
  </si>
  <si>
    <t>Minitor104</t>
  </si>
  <si>
    <t>Lái xe1(Lái xe)</t>
  </si>
  <si>
    <t>Trường có thể trống</t>
  </si>
  <si>
    <t>Minitor104.png</t>
  </si>
  <si>
    <t>Minitor105</t>
  </si>
  <si>
    <t>Lái xe2</t>
  </si>
  <si>
    <t>Minitor105.png</t>
  </si>
  <si>
    <t>Minitor106</t>
  </si>
  <si>
    <t>Điện thoại</t>
  </si>
  <si>
    <t>Minitor106.png</t>
  </si>
  <si>
    <t>Minitor107</t>
  </si>
  <si>
    <t>Vận tốc GPS/Cơ</t>
  </si>
  <si>
    <t>So sánh dữ liệu: Api, Thông tin xe, Popup hiện trạng (Có thể sai lệnh 10km/h)</t>
  </si>
  <si>
    <t>Thông tin xe: 0/0 Km/h
Api: 0
Popup hiện trạng: 0/0</t>
  </si>
  <si>
    <t>Minitor108</t>
  </si>
  <si>
    <t>Gara</t>
  </si>
  <si>
    <t>Thông tin xe: Gara Én Vàng</t>
  </si>
  <si>
    <t>Minitor109</t>
  </si>
  <si>
    <t>Đã dừng</t>
  </si>
  <si>
    <t>Minitor110</t>
  </si>
  <si>
    <t>Điều hòa</t>
  </si>
  <si>
    <t>Minitor110.png</t>
  </si>
  <si>
    <t>Minitor111</t>
  </si>
  <si>
    <t>Máy</t>
  </si>
  <si>
    <t>Thông tin xe: Tắt</t>
  </si>
  <si>
    <t>Minitor112</t>
  </si>
  <si>
    <t>Thông tin xe: Có khách</t>
  </si>
  <si>
    <t>Minitor113</t>
  </si>
  <si>
    <t>Thông tin xe: Xe Công Vụ</t>
  </si>
  <si>
    <t>Minitor114</t>
  </si>
  <si>
    <t>Loại đồng hồ</t>
  </si>
  <si>
    <t>Thông tin xe: BATM</t>
  </si>
  <si>
    <t>Minitor115</t>
  </si>
  <si>
    <t>KM CK/Rỗng</t>
  </si>
  <si>
    <t>Thông tin xe: 539,80 Km/8,43 Km</t>
  </si>
  <si>
    <t>Minitor116</t>
  </si>
  <si>
    <t>Tổng CK</t>
  </si>
  <si>
    <t>Thông tin xe: 1</t>
  </si>
  <si>
    <t>Minitor117</t>
  </si>
  <si>
    <t>Tổng doanh thu</t>
  </si>
  <si>
    <t>Thông tin xe: 688.000 VND</t>
  </si>
  <si>
    <t>Minitor118</t>
  </si>
  <si>
    <t>Tiền CK hiện tại</t>
  </si>
  <si>
    <t>Thông tin xe: 12.223.400 VND</t>
  </si>
  <si>
    <t>Minitor119</t>
  </si>
  <si>
    <t>KM CK/Rỗng trong ca</t>
  </si>
  <si>
    <t>Minitor119.png</t>
  </si>
  <si>
    <t>Minitor120</t>
  </si>
  <si>
    <t>Tổng CK trong ca</t>
  </si>
  <si>
    <t>Minitor120.png</t>
  </si>
  <si>
    <t>Minitor121</t>
  </si>
  <si>
    <t>Tổng doanh thu trong ca</t>
  </si>
  <si>
    <t>Minitor121.png</t>
  </si>
  <si>
    <t>Minitor122</t>
  </si>
  <si>
    <t>Thời gian chờ</t>
  </si>
  <si>
    <t>Thông tin xe: 11383 phút</t>
  </si>
  <si>
    <t>Minitor123</t>
  </si>
  <si>
    <t>KM CK đang chạy</t>
  </si>
  <si>
    <t>Thông tin xe: 523,15 Km</t>
  </si>
  <si>
    <t>Minitor124</t>
  </si>
  <si>
    <t>Lái xe</t>
  </si>
  <si>
    <t>Thông tin xe: Chưa gán lái xe</t>
  </si>
  <si>
    <t>Minitor125</t>
  </si>
  <si>
    <t>Giấy phép lái xe</t>
  </si>
  <si>
    <t>Thông tin xe: LAI XE DANG XUAT</t>
  </si>
  <si>
    <t>Minitor126</t>
  </si>
  <si>
    <t>Thông tin xe: 0 lần</t>
  </si>
  <si>
    <t>Minitor127</t>
  </si>
  <si>
    <t>TG LX liên tục</t>
  </si>
  <si>
    <t>Thông tin xe: 0 phút</t>
  </si>
  <si>
    <t>Minitor128</t>
  </si>
  <si>
    <t>TG LX trong ngày</t>
  </si>
  <si>
    <t>Thông tin xe: 54 phút</t>
  </si>
  <si>
    <t>Minitor129</t>
  </si>
  <si>
    <t>Sở quản lý</t>
  </si>
  <si>
    <t>Thông tin xe: Thành phố Hải Phòng</t>
  </si>
  <si>
    <t>Minitor130</t>
  </si>
  <si>
    <t>IMEI</t>
  </si>
  <si>
    <t>Popup hiện trạng: 866082070751525</t>
  </si>
  <si>
    <t>Minitor131</t>
  </si>
  <si>
    <t>SIM</t>
  </si>
  <si>
    <t>Minitor132</t>
  </si>
  <si>
    <t>Km trong ngày</t>
  </si>
  <si>
    <t>Popup hiện trạng: 0</t>
  </si>
  <si>
    <t>Minitor133</t>
  </si>
  <si>
    <t>Hiện trạng xe</t>
  </si>
  <si>
    <t xml:space="preserve">So sánh dữ liệu: Api, Thông tin xe, Popup hiện trạng </t>
  </si>
  <si>
    <t>Hiện trạng xe: 1027-15E01249
Api: 1027-15E01249
Popup hiện trạng: 1027-15E01249</t>
  </si>
  <si>
    <t>3. Chuột phải vào xe</t>
  </si>
  <si>
    <t>3.1 Chia sẻ phương tiện</t>
  </si>
  <si>
    <t>Minitor134</t>
  </si>
  <si>
    <t>Chuột phải chọn "Chia sẻ phương tiện"</t>
  </si>
  <si>
    <t>1. Login vào hệ thống, tại trang giám sát xe
2. Chuột phải vào xe đầu tiên danh sách xe &gt; Chọn "Chia sẻ phương tiện" &gt; Check hiển thị</t>
  </si>
  <si>
    <t>Mở popup: "Chia sẻ phương tiện", ứng với xe vừa chọn</t>
  </si>
  <si>
    <t>3.2 Xem lại lộ trình</t>
  </si>
  <si>
    <t>Minitor135</t>
  </si>
  <si>
    <t>Chuột phải chọn "Xem lại
 lộ trình"</t>
  </si>
  <si>
    <t>1. Login vào hệ thống, tại trang giám sát xe
2. Chuột phải vào xe đầu tiên danh sách xe
3. Hover "Xem lại lộ trình" &gt; Check hiển thị</t>
  </si>
  <si>
    <t>Hiển thị danh sách xem lại gồm: 15p, 30p, 1h, 2h, 4, 8h, trong ngày, tùy chọn</t>
  </si>
  <si>
    <t>15 phút gần đây, 30 phút gần đây, 1h gần đây, 2h gần đây, 4h gần đây, 8h gần đây</t>
  </si>
  <si>
    <t>Minitor136</t>
  </si>
  <si>
    <t>8h gần đây - Xem nhanh</t>
  </si>
  <si>
    <t>1. Login vào hệ thống
2. Tại trang giám sát &gt; Chuột phải vào 1 phương tiện  danh sách xe
3. Hover "Xem lại lộ trình" &gt; 8h gần đây &gt; Xem nhanh</t>
  </si>
  <si>
    <t>Hiện thị lộ trình hình mũi tên trên map và popup "Xóa lộ trình"</t>
  </si>
  <si>
    <t>Xóa Lộ trình</t>
  </si>
  <si>
    <t>Minitor137</t>
  </si>
  <si>
    <t>8h gần đây - Xem chi tiết trên cửa sổ mới</t>
  </si>
  <si>
    <t>1. Login vào hệ thống
2. Tại trang giám sát &gt; Chuột phải vào 1 phương tiện  danh sách xe
3. Hover "Xem lại lộ trình" &gt; 8h gần đây &gt; Xem chi tiết trên cửa sổ mới</t>
  </si>
  <si>
    <t>Mở tab mới và chuyển tới trang "Lộ trình" và hiển thị trường: " Tốc độ : "</t>
  </si>
  <si>
    <t xml:space="preserve"> Tốc độ : </t>
  </si>
  <si>
    <t>Minitor138</t>
  </si>
  <si>
    <t>Trong ngày</t>
  </si>
  <si>
    <t>1. Login vào hệ thống
2. Tại trang giám sát &gt; Chuột phải vào 1 phương tiện  danh sách xe
3. Hover "Xem lại lộ trình" &gt; Trong ngày</t>
  </si>
  <si>
    <t>Minitor139</t>
  </si>
  <si>
    <t>Tùy chọn</t>
  </si>
  <si>
    <t>1. Login vào hệ thống
2. Tại trang giám sát &gt; Chuột phải vào 1 phương tiện  danh sách xe
3. Hover "Xem lại lộ trình" &gt; Tùy chọn</t>
  </si>
  <si>
    <t>3.3 Hiện trạng</t>
  </si>
  <si>
    <t>Minitor140</t>
  </si>
  <si>
    <t>Chuột phải chọn "Hiện 
trạng"</t>
  </si>
  <si>
    <t>1. Login vào hệ thống, tại trang giám sát xe
2. Chuột phải vào xe đầu tiên danh sách xe &gt; Chọn "Hiện trạng" &gt; Check hiển thị</t>
  </si>
  <si>
    <t>Mở popup: "Hiện trạng xe", ứng với xe vừa chọn</t>
  </si>
  <si>
    <t>Hiện trạng xe: 104-15A18684</t>
  </si>
  <si>
    <t>3.4 Thông tin thiết bị</t>
  </si>
  <si>
    <t>Minitor141</t>
  </si>
  <si>
    <t>Chuột phải chọn "Thông tin 
thiết bị"</t>
  </si>
  <si>
    <t>1. Login vào hệ thống, tại trang giám sát xe
2. Chuột phải vào xe đầu tiên danh sách xe &gt; Chọn "Thông tin thiết bị" &gt; Check hiển thị</t>
  </si>
  <si>
    <t>Mở popup: "Thông tin thiết bị xe", ứng với xe vừa chọn</t>
  </si>
  <si>
    <t>Thông tin thiết bị xe : 15A18684</t>
  </si>
  <si>
    <t>Minitor142</t>
  </si>
  <si>
    <t xml:space="preserve"> IMEI: 866082070749511</t>
  </si>
  <si>
    <t>Minitor143</t>
  </si>
  <si>
    <t>Số hiệu xe</t>
  </si>
  <si>
    <t>Số hiệu xe: 104</t>
  </si>
  <si>
    <t>Minitor144</t>
  </si>
  <si>
    <t>Biển số xe</t>
  </si>
  <si>
    <t>Biển số xe: 15A18684</t>
  </si>
  <si>
    <t>Minitor145</t>
  </si>
  <si>
    <t>VIN</t>
  </si>
  <si>
    <t xml:space="preserve"> VIN:  00000000001</t>
  </si>
  <si>
    <t>Minitor146</t>
  </si>
  <si>
    <t>Thời điểm hoạt động lần đầu</t>
  </si>
  <si>
    <t>Thời điểm hoạt động lần đầu: 14:17 21/05/2015</t>
  </si>
  <si>
    <t>Minitor147</t>
  </si>
  <si>
    <t>Thời điểm gửi tin gần nhất</t>
  </si>
  <si>
    <t>Thời điểm gửi tin gần nhất: 17:32 29/12/2025</t>
  </si>
  <si>
    <t>Minitor148</t>
  </si>
  <si>
    <t>THÔNG TIN GPS</t>
  </si>
  <si>
    <t>Bình thường</t>
  </si>
  <si>
    <t>Minitor149</t>
  </si>
  <si>
    <t>Điện thoại: 0794105053</t>
  </si>
  <si>
    <t>Minitor150</t>
  </si>
  <si>
    <t>Loại thuê bao</t>
  </si>
  <si>
    <t xml:space="preserve">Loại thuê bao: Trả sau </t>
  </si>
  <si>
    <t>Minitor151</t>
  </si>
  <si>
    <t>Mức ắc quy</t>
  </si>
  <si>
    <t>Mức ắc quy: 12.91</t>
  </si>
  <si>
    <t>Minitor152</t>
  </si>
  <si>
    <t>Nguồn</t>
  </si>
  <si>
    <t>Nguồn: Bình thường</t>
  </si>
  <si>
    <t>Minitor153</t>
  </si>
  <si>
    <t>Thẻ nhớ</t>
  </si>
  <si>
    <t>Thẻ nhớ: Bình thường</t>
  </si>
  <si>
    <t>3.5 Giám sát camera</t>
  </si>
  <si>
    <t>Minitor154</t>
  </si>
  <si>
    <t>Chuột phải chọn "Giám sát camera"</t>
  </si>
  <si>
    <t>1. Login vào hệ thống, tại trang giám sát xe
2. Chuột phải vào xe đầu tiên danh sách xe &gt; Chọn "Giám sát camera" &gt; Check hiển thị</t>
  </si>
  <si>
    <t>Mở tab mới và chuyển tới trang: "GIÁM SÁT CAMERA"</t>
  </si>
  <si>
    <t xml:space="preserve"> Giám sát camera</t>
  </si>
  <si>
    <t>3.6 Xem ảnh camera</t>
  </si>
  <si>
    <t>Minitor155</t>
  </si>
  <si>
    <t>Chuột phải chọn "Xem ảnh camera"</t>
  </si>
  <si>
    <t>1. Login vào hệ thống, tại trang giám sát xe
2. Chuột phải vào xe đầu tiên danh sách xe &gt; Chọn "Xem ảnh camera" &gt; Check hiển thị</t>
  </si>
  <si>
    <t>Sẽ có 2 trường hợp: 
1. Hiển thị hình ảnh lên màn hình 
2. "Không có dữ liệu"</t>
  </si>
  <si>
    <t>3.7 Nhập thuê bao tuyến</t>
  </si>
  <si>
    <t>Minitor156</t>
  </si>
  <si>
    <t>Chuột phải chọn "Nhập thuê
 bao tuyến"</t>
  </si>
  <si>
    <t>1. Login vào hệ thống, tại trang giám sát xe
2. Chuột phải vào xe đầu tiên danh sách xe &gt; Chọn "Nhập thuê bao tuyến" &gt; Check hiển thị</t>
  </si>
  <si>
    <t>Mở tab mới và chuyển tới trang: "NHẬP THUÊ BAO TUYẾN"</t>
  </si>
  <si>
    <t xml:space="preserve">  Nhập thuê bao tuyến</t>
  </si>
  <si>
    <t>Minitor157</t>
  </si>
  <si>
    <t>Nhập thông tin</t>
  </si>
  <si>
    <t>1. Tại trang: "NHẬP THUÊ BAO TUYẾN"
2. Nhập các thông tin:
- Số hiệu xe* : Tự chọn theo xe
- Lái xe: 1 lái xe ngẫu nhiên
- Điểm xuất phát*: 1 điểm ngẫu nhiên
- Tuyến thuê bao* : 1 tuyến ngẫu nhiên
- Cuốc khách: 2 chiều
- Giá thuê bao*: 100/20/30000
- Giờ đón khách*: 07:00 Ngày hiện tại
- Km cơ đón khách: 25
- Có thông tin trả khách: tích chọn
- Tự động đồng bộ bảng cước: tích chọn
- Giờ trả khách*: 14:57 Ngày hiện tại
-  Km cơ trả khách: 30
- Km thực đi*: 80
- Tiền đồng hồ (đồng)*: 240000
- Phụ trội: tự fill
- Tiền thực thu (đồng)*: tự fill
- Ghi chú: Trường test nhập thuê bao tuyến
- Chọn cuốc để đồng bộ:</t>
  </si>
  <si>
    <t>Chỉ check có đủ trường hay không</t>
  </si>
  <si>
    <t>Minitor158</t>
  </si>
  <si>
    <t>1. Tại trang: "NHẬP THUÊ BAO TUYẾN"
2. Check hiển thị button: "Lưu"</t>
  </si>
  <si>
    <t>Minitor159</t>
  </si>
  <si>
    <t>Lưu và tạo mới</t>
  </si>
  <si>
    <t>1. Tại trang: "NHẬP THUÊ BAO TUYẾN"
2. Check hiển thị button: "Lưu và tạo mới"</t>
  </si>
  <si>
    <t>Minitor160</t>
  </si>
  <si>
    <t>Lưu và sang trang Bảng giá cước thuê bao tuyến</t>
  </si>
  <si>
    <t>1. Tại trang: "NHẬP THUÊ BAO TUYẾN"
2. Check hiển thị button: "Lưu và sang trang Bảng giá cước thuê bao tuyến"</t>
  </si>
  <si>
    <t>Minitor161</t>
  </si>
  <si>
    <t>Hủy bỏ</t>
  </si>
  <si>
    <t>1. Tại trang: "NHẬP THUÊ BAO TUYẾN"
2. Chọn button: "Hủy bỏ"</t>
  </si>
  <si>
    <t>Xóa tất cả dữ liệu đã nhập trước đó</t>
  </si>
  <si>
    <t>3.8 Lái xe báo</t>
  </si>
  <si>
    <t>Minitor162</t>
  </si>
  <si>
    <t>Chuột phải chọn "Lái xe 
báo"</t>
  </si>
  <si>
    <t>1. Login vào hệ thống, tại trang giám sát xe
2. Chuột phải vào xe đầu tiên danh sách xe
3. Hover "Lái xe báo" &gt; Check hiển thị</t>
  </si>
  <si>
    <t>Hiển thị danh sách lái xe báo gồm: Báo nghỉ, Xe hoạt động lại</t>
  </si>
  <si>
    <t>Báo nghỉ, Xe hoạt động lại</t>
  </si>
  <si>
    <t>Minitor163</t>
  </si>
  <si>
    <t>Báo nghỉ</t>
  </si>
  <si>
    <t>1. Chuột phải xe &gt; hover "Lái xe báo" &gt; "Báo nghỉ" &gt; Check hiển thị</t>
  </si>
  <si>
    <t>Hiển thị thông báo: "Cập nhật dữ liệu thành công"</t>
  </si>
  <si>
    <t>Cập nhật dữ liệu thành công</t>
  </si>
  <si>
    <t>Minitor164</t>
  </si>
  <si>
    <t>Xe hoạt động lại</t>
  </si>
  <si>
    <t>1. Chuột phải xe &gt; hover "Lái xe báo" &gt; "Xe hoạt động lại" &gt; Check hiển thị</t>
  </si>
  <si>
    <t>3.9 Ẩn xe</t>
  </si>
  <si>
    <t>Minitor165</t>
  </si>
  <si>
    <t>Chuột phải chọn "Ẩn xe"</t>
  </si>
  <si>
    <t>1. Login vào hệ thống, tại trang giám sát xe
2. Chuột phải vào xe đầu tiên danh sách xe &gt; Chọn "Ẩn xe" &gt; Check hiển thị</t>
  </si>
  <si>
    <t>Mở popup: "Ẩn xe"</t>
  </si>
  <si>
    <t>Ẩn xe</t>
  </si>
  <si>
    <t>4. Lộ trình</t>
  </si>
  <si>
    <t>Minitor166</t>
  </si>
  <si>
    <t>Tìm kiếm "Lộ trình"</t>
  </si>
  <si>
    <t>1. Login vào hệ thống, tại trang giám sát xe
2. Danh sách xe &gt; Lộ trình, nhập các trường thông tin:
- Từ: 00:00 / Ngày hiện tại -1
- Đến: Giờ hiện tại / Ngày hiện tại
- Chọn số hiệu xe: 1 xe ngẫu nhiên
=&gt; Chọn icon Tìm kiếm</t>
  </si>
  <si>
    <t>Mở tab mới chuyển tới trang "Lộ trình", hiện thị lộ trình tương ứng với xe đã chọn</t>
  </si>
  <si>
    <t>104 - 15A18684</t>
  </si>
  <si>
    <t>5. Chuột phải vào map</t>
  </si>
  <si>
    <t>5.1 Tìm xe gần nhất</t>
  </si>
  <si>
    <t>Goto: Công ty Xuân Thành [6072]</t>
  </si>
  <si>
    <t>Minitor167</t>
  </si>
  <si>
    <t>Chuột phải vào map chọn
 "Chia sẻ phương tiện"</t>
  </si>
  <si>
    <t>1. Login vào hệ thống, tại trang giám sát xe
2. Chuột phải vào map &gt; Chọn "Chia sẻ phương tiện" &gt; Check hiển thị</t>
  </si>
  <si>
    <t>Mở popup: "Tìm xe gần nhất"</t>
  </si>
  <si>
    <t>Tìm xe gần nhất</t>
  </si>
  <si>
    <t>Minitor168</t>
  </si>
  <si>
    <t>Sắp xếp: Doanh thu trong ngày</t>
  </si>
  <si>
    <t>1. Tại popup: "Tìm xe gần nhất"
2. Chọn loại sắp xếp: Doanh thu trong ngày &gt; Check hiển thị</t>
  </si>
  <si>
    <t>Hiển thị dữ liệu các trường: Số hiệu xe, Khoảng cách (km), Dự kiến (phút),  Doanh thu trong ngày, Thời gian dừng đỗ (giờ:phút), Xe di chuyển đón khách
(Các trường không được trống)</t>
  </si>
  <si>
    <t>Số hiệu xe: 1169
Khoảng cách (km): 1.13
Dự kiến (phút): 3
Doanh thu trong ngày: 0
Thời gian dừng đỗ (giờ:phút): 0
Xe di chuyển đón khách: Điều xe</t>
  </si>
  <si>
    <t>Minitor169</t>
  </si>
  <si>
    <t>Sắp xếp: Khoảng cách(km)</t>
  </si>
  <si>
    <t>1. Tại popup: "Tìm xe gần nhất"
2. Chọn loại sắp xếp: Khoảng cách(km) &gt; Check hiển thị</t>
  </si>
  <si>
    <t>5.2 Tìm đồ khách quên</t>
  </si>
  <si>
    <t>Minitor170</t>
  </si>
  <si>
    <t>Chuột phải vào map chọn
 "Tìm đồ khách quên"</t>
  </si>
  <si>
    <t>1. Login vào hệ thống, tại trang giám sát xe
2. Chuột phải vào map &gt; Chọn "Tìm đồ khách quên" &gt; Check hiển thị</t>
  </si>
  <si>
    <t>Mở tab mới và và mở popup: "Tìm xe"</t>
  </si>
  <si>
    <t>Tìm xe</t>
  </si>
  <si>
    <t>Minitor171</t>
  </si>
  <si>
    <t>Tìm kiếm</t>
  </si>
  <si>
    <t>1. tại popup: "Tìm xe", Nhập các trường thông tin:
- Từ giờ *: 00:00
- Đến giờ*: Giờ hiện tại
- Từ ngày *: Ngày hiện tại -1
- Đến ngày *: Ngày hiện tại
- Kiểu tìm: Tìm theo vùng bao
- Vùng lên:
- Vùng xuống:
- Từ tiền:
- Đến tiền
- Loại xe: Tất cả
- Xem khả nghi dừng đỗ: Không tích chọn
=&gt; Chọn button "Tìm kiếm"</t>
  </si>
  <si>
    <t xml:space="preserve">Mở popup: "Cuốc khách", Hiển thị thông tin các trường: SHX, Biển số, Lái xe, Giờ lên, Giờ xuống, Địa chỉ lên, Địa chỉ xuống, Số tiền, Xem nhanh, Xem lộ trình ở trang khác
</t>
  </si>
  <si>
    <t>SHX: 1185
Biển số: 35A18386
Lái xe: 
Giờ lên: 29/12/2025
05:57
Giờ xuống: 29/12/2025
05:57
Địa chỉ lên: 152, Cát Linh, P. Hoa Lư, Ninh Bình
Địa chỉ xuống: 152, Cát Linh, P. Hoa Lư, Ninh Bình
Số tiền: 0
Xem nhanh: Xem
Xem lộ trình ở trang khác: Xem</t>
  </si>
  <si>
    <t>5.3 Danh sách lái xe chưa đăng nhập</t>
  </si>
  <si>
    <t>Minitor172</t>
  </si>
  <si>
    <t>Chuột phải vào map chọn "Danh sách lái xe chưa đăng nhập"</t>
  </si>
  <si>
    <t>1. Login vào hệ thống, tại trang giám sát xe
2. Chuột phải vào map &gt; Chọn "Danh sách lái xe chưa đăng nhập" &gt; Check hiển thị</t>
  </si>
  <si>
    <t>Mở popup: "Danh sách lái xe chưa đăng nhập"</t>
  </si>
  <si>
    <t>Danh sách lái xe chưa đăng nhập</t>
  </si>
  <si>
    <t>Minitor173</t>
  </si>
  <si>
    <t>Nhóm đội:</t>
  </si>
  <si>
    <t>1. Tại popup: "Danh sách lái xe chưa đăng nhập"
2. Chọn combobox "Nhóm đội"</t>
  </si>
  <si>
    <t>Hiển thị tất cả nhóm đội của công ty</t>
  </si>
  <si>
    <t>29A1406029a1497929a2447729a2448129a2530229a25303ha noi29a2534729a25748hn29a2762129a3078329a32376Quantrixuanthanh29a10072-hanoi29A14975 - ha noi29A24481- hà nội29A2474929A24953 - ha noi29A24983 - hà nộidangvantangDOI IIDOI IXE bán lên Hà Nộixe ở Hà Nội29a2472929a2473829a2474029a25129xe chưa có nhóm ( Hà Nội)29a2476929a25365xuanthanhninhbinh</t>
  </si>
  <si>
    <t>Minitor174</t>
  </si>
  <si>
    <t>Số hiệu xe:</t>
  </si>
  <si>
    <t>1. Tại popup: "Danh sách lái xe chưa đăng nhập"
2. Chọn combobox "Số hiệu xe"
3. Chọn 1 Số hiệu xe ngẫu nhiên dưới danh sách
4. Chọn button "Cập nhật dữ liệu"</t>
  </si>
  <si>
    <t>Danh sách xe hiển thị đúng Số hiệu xe đã nhập</t>
  </si>
  <si>
    <t>1169</t>
  </si>
  <si>
    <t>Minitor175</t>
  </si>
  <si>
    <t>Cập nhật dữ liệu</t>
  </si>
  <si>
    <t xml:space="preserve">1. Tại popup: "Danh sách lái xe chưa đăng nhập"
2. Chọn button "Cập nhật dữ liệu" </t>
  </si>
  <si>
    <t>Hiển thị message: "Cập nhật thành công"</t>
  </si>
  <si>
    <t>Cập nhật thành công</t>
  </si>
  <si>
    <t>Minitor176</t>
  </si>
  <si>
    <t>1. Tại popup: "Danh sách lái xe chưa đăng nhập"
2. Chọn button "Xuất excel"</t>
  </si>
  <si>
    <t>1. Tải file Excel về máy
2. Các cột và dữ liệu dòng đầu Web và file Excel phải giống nhau
(Xem file log)</t>
  </si>
  <si>
    <t>5.4 Tạo điểm bản đồ</t>
  </si>
  <si>
    <t>Minitor177</t>
  </si>
  <si>
    <t>Chuột phải vào map chọn "Tạo điểm bản đồ"</t>
  </si>
  <si>
    <t>1. Login vào hệ thống, tại trang giám sát xe
2. Chuột phải vào map &gt; Chọn "Tạo điểm bản đồ" &gt; Check hiển thị</t>
  </si>
  <si>
    <t>Mở tab mới và và mở popup: "Thêm mới Điểm, vùng"</t>
  </si>
  <si>
    <t>Thêm mới Điểm, vùng</t>
  </si>
  <si>
    <t>Minitor178</t>
  </si>
  <si>
    <t>Nhập thông tin và Lưu</t>
  </si>
  <si>
    <t xml:space="preserve">1. Tại popup: "Thêm mới Điểm, vùng"
2. Nhập các thông tin:
- Tên điểm(*): Trường test tạo điểm1
- Tên riêng: Điểm test1
- Loại điểm: Công viên
- Ranh giới: Đường tròn/Nhập tọa độ
- Địa chỉ: 17, Ngách 169/67 Hoàng Mai, P. Tương Mai, TP. Hà Nội
- Kinh độ: 105.855462
- Vĩ độ: 20.991758 
- Bán kính(m)(*): 30
- Màu sắc: Đỏ
- Điểm kiểm soát: Tích chọn
-  Hiển thị trên bản đồ: Tích chọn
- Điện thoại: 0358775642
- Email: truongabc@gmail.com
- Mô tả: Trường test tạo điểm
- Vận tốc tối đa: 40
- Vận tốc tối thiểu: 10
- Cảnh báo số lượng xe ở sảnh: Tích chọn
- Số xe tối thiểu: 1
- Số xe tối đa: 5
- Bắt cảnh báo xe ở lâu trong vùng: Tích chọn
- Số phút bắt cảnh báo &gt;=: 10
=&gt; Lưu &gt; check hiển thị
</t>
  </si>
  <si>
    <t>Hiển thị thông báo: "Thêm mới thành công"</t>
  </si>
  <si>
    <t>Thêm mới thành công</t>
  </si>
  <si>
    <t>Minitor179</t>
  </si>
  <si>
    <t>1. Tại trang giám sát(Tạo điểm)
2. Click vào loại điểm vừa tạo: Công viên(Điểm test1)
3. Click đúp chuột vào điểm ở map &gt; Đổi tên điểm "Trường test tạo điểm1" thành "Trường test tạo điểm2"
=&gt; "Lưu"</t>
  </si>
  <si>
    <t>Minitor180</t>
  </si>
  <si>
    <t>Xóa</t>
  </si>
  <si>
    <t>1. Tại trang giám sát(Tạo điểm)
2. Click vào loại điểm vừa tạo: Công viên(Điểm test1)
3. Click đúp chuột vào điểm ở map 
=&gt; "Xóa" &gt; ok &gt;</t>
  </si>
  <si>
    <t>Hiển thị thông báo: "Xóa thành công"</t>
  </si>
  <si>
    <t>Xóa thành công</t>
  </si>
  <si>
    <t>5.5 Xem địa chỉ</t>
  </si>
  <si>
    <t>Minitor181</t>
  </si>
  <si>
    <t>Chuột phải vào map chọn "Xem địa chỉ"</t>
  </si>
  <si>
    <t>1. Login vào hệ thống, tại trang giám sát xe
2. Tìm tọa độ: "20.993391, 105.901546"
3. Chuột phải vào map &gt; Chọn "Xem địa chỉ" &gt; Check hiển thị</t>
  </si>
  <si>
    <t>Địa chỉ : Địa chỉ : Ngõ 468 Nguyễn Khoái, P. Vĩnh Hưng, TP. Hà Nội
Vĩ độ : 21.001750 , Kinh độ : 105.876703</t>
  </si>
  <si>
    <t>Địa chỉ : 48, Ngõ 896 Nguyễn Khoái, P. Vĩnh Hưng, TP. Hà Nội
Vĩ độ : 20.997663 , Kinh độ : 105.885887</t>
  </si>
  <si>
    <t>5.6 Đo khoảng cách</t>
  </si>
  <si>
    <t>Minitor182</t>
  </si>
  <si>
    <t>Chuột phải vào map chọn "Đo khoảng cách"</t>
  </si>
  <si>
    <t>1. Login vào hệ thống, tại trang giám sát xe
2. Chuột phải vào map &gt; Chọn "Đo khoảng cách"
3. Click vào 2 vị trí bất kỳ trên bản đồ</t>
  </si>
  <si>
    <t>Đã có case: Minitor29</t>
  </si>
  <si>
    <t>5.7 Dẫn đường</t>
  </si>
  <si>
    <t>Minitor183</t>
  </si>
  <si>
    <t>Chuột phải vào map chọn "Dẫn đường"</t>
  </si>
  <si>
    <t>1. Login vào hệ thống, tại trang giám sát xe
2. Chuột phải vào map &gt; Chọn "Dẫn đường"</t>
  </si>
  <si>
    <t>Mở tab mới và chuyển đến trang: "Google Maps"</t>
  </si>
  <si>
    <t>5.8 Xem xe trong gara</t>
  </si>
  <si>
    <t>Minitor184</t>
  </si>
  <si>
    <t>Chuột phải vào map chọn "Xem xe trong gara"</t>
  </si>
  <si>
    <t>1. Login vào hệ thống, tại trang giám sát xe
2. Chuột phải vào map &gt; Chọn "Xem xe trong gara"</t>
  </si>
  <si>
    <t>Mở popup: "Tìm xe trong gara"</t>
  </si>
  <si>
    <t>Tìm xe trong gara</t>
  </si>
  <si>
    <t>Minitor185</t>
  </si>
  <si>
    <t>Check thông tin</t>
  </si>
  <si>
    <t>1. Tại popup: "Tìm xe trong gara" 
2. Check thông tin các trường: Tên gara, Danh sách xe, Tổng</t>
  </si>
  <si>
    <t>Các trường không được trống</t>
  </si>
  <si>
    <t>Tên gara: Gara Én Vàng
Danh sách xe: 1907, 5091, 3001, 5132, 6125, 5222, 5303, 3679, 5203, 3035, 5509, 1027, 3771, 6051, 3989, 8007, 8302, 8006, 8012, 8311, 8313, 5112, 8032, 5123, 8048, 8046, 4728, 8056, 8326, 8319, 8328, 8325, 5219, 5221, 15H22102
Tổng: 35</t>
  </si>
  <si>
    <t>Minitor185_XemXeTrenGara_CheckThongTin.png</t>
  </si>
  <si>
    <t xml:space="preserve">5.10 Tìm xe dừng đỗ trong vùng ĐH    </t>
  </si>
  <si>
    <t>Minitor186</t>
  </si>
  <si>
    <t>Chuột phải vào map chọn "Tìm xe dừng đỗ trong vùng ĐH"</t>
  </si>
  <si>
    <t>1. Login vào hệ thống, tại trang giám sát xe
2. Chuột phải vào map &gt; Chọn "Tìm xe dừng đỗ trong vùng ĐH    "</t>
  </si>
  <si>
    <t>Mở popup: "Tìm xe dừng đỗ trong vùng ĐH"</t>
  </si>
  <si>
    <t>Tìm xe dừng đỗ trong vùng ĐH</t>
  </si>
  <si>
    <t>Minitor187</t>
  </si>
  <si>
    <t>Lọc theo thời gian ra vào(Không tích)</t>
  </si>
  <si>
    <t>1. Tại popup: "Tìm xe dừng đỗ trong vùng ĐH"
2. Nhập các trường thông tin:
- Vùng điều hành: 1 vùng ngẫu nhiên
-  Lọc theo thời gian ra vào: Không tích
3. Check thông tin các trường: Số hiệu xe, Biển số xe, Doanh thu trong ngày, Thời gian dừng đỗ (phút)</t>
  </si>
  <si>
    <t>Số hiệu xe: 3747
Biển số xe: 15K04494
Doanh thu trong ngày: 1.613.300
Thời gian dừng đỗ (phút): 349</t>
  </si>
  <si>
    <t>Minitor188</t>
  </si>
  <si>
    <t>Lọc theo thời gian ra vào(Tích chọn)</t>
  </si>
  <si>
    <t>1. Tại popup: "Tìm xe dừng đỗ trong vùng ĐH"
2. Nhập các trường thông tin:
- Vùng điều hành: 1 vùng ngẫu nhiên
-  Lọc theo thời gian ra vào: Tích chọn
3. Check thông tin các trường: Số hiệu xe, Biển số xe, Doanh thu trong ngày, Thời gian xe trong vùng (phút)</t>
  </si>
  <si>
    <t>5.9 Tìm xe trong vùng</t>
  </si>
  <si>
    <t>Minitor189</t>
  </si>
  <si>
    <t>Chuột phải vào map chọn "Tìm xe trong vùng"</t>
  </si>
  <si>
    <t>1. Login vào hệ thống, tại trang giám sát xe
2. Chuột phải vào map &gt; Chọn "Tìm xe trong vùng"
3. Nối 3 điểm bất kỳ thành hình tam giác</t>
  </si>
  <si>
    <t>Mở popup: "Tìm xe trong vùng"</t>
  </si>
  <si>
    <t>Tìm xe trong vùng</t>
  </si>
  <si>
    <t>Minitor190</t>
  </si>
  <si>
    <t>1. Tại popup: "Tìm xe trong vùng"
2. Check thông tin các trường: STT,  Số xe, Vận tốc, Địa chỉ</t>
  </si>
  <si>
    <t>STT: 1
Số xe: 16A102025
Vận tốc: 0
Địa chỉ: 40, Ngách 88/61 Giáp Nhị, P. Hoàng Mai, TP. Hà Nội</t>
  </si>
  <si>
    <t>5.11 Ẩn hiện vùng , điểm</t>
  </si>
  <si>
    <t>Minitor191</t>
  </si>
  <si>
    <t>Chuột phải vào map chọn "Ẩn hiện vùng , điểm"</t>
  </si>
  <si>
    <t>1. Login vào hệ thống, tại trang giám sát xe
2. Chuột phải vào map &gt; Chọn "Ẩn hiện vùng , điểm"</t>
  </si>
  <si>
    <t>Mở popup: "Cấu hình hiển thị điểm - vùng"</t>
  </si>
  <si>
    <t>Cấu hình hiển thị điểm - vùng</t>
  </si>
  <si>
    <t>Minitor192</t>
  </si>
  <si>
    <t>Tắt hiển thị</t>
  </si>
  <si>
    <t>1. Tại popup: "Cấu hình hiển thị điểm - vùng"
2. Bỏ tích chọn: Hiển thị tên vùng điểm
3. Lưu &gt; Check hiển thị</t>
  </si>
  <si>
    <t>1. Hiện thị thông báo: "Cập nhật dữ liệu thành công"</t>
  </si>
  <si>
    <t>Minitor193</t>
  </si>
  <si>
    <t>Bật hiển thị</t>
  </si>
  <si>
    <t>1. Tại popup: "Cấu hình hiển thị điểm - vùng"
2. Tích chọn: Hiển thị tên vùng điểm
3. Lưu &gt; Check hiển thị</t>
  </si>
  <si>
    <t>5.12 Ẩn/hiện đường bao</t>
  </si>
  <si>
    <t>Minitor194</t>
  </si>
  <si>
    <t>Chuột phải vào map chọn "Ẩn/hiện đường bao"</t>
  </si>
  <si>
    <t>1. Login vào hệ thống, tại trang giám sát xe
2. Tìm tọa độ: "20.981957, 105.813210"
3. Chuột phải vào map &gt; Chọn "Ẩn/hiện đường bao"</t>
  </si>
  <si>
    <t>1. Nếu đang Hiện vùng bao sẽ ẨN
2. Nếu đang Ẩn vùng bao sẽ Hiện</t>
  </si>
  <si>
    <t>5.13 Cấu hình khởi động</t>
  </si>
  <si>
    <t>Minitor195</t>
  </si>
  <si>
    <t>Chuột phải vào map chọn "Cấu hình khởi động"</t>
  </si>
  <si>
    <t>1. Login vào hệ thống, tại trang giám sát xe
2. Chuột phải vào map &gt; Chọn "Cấu hình khởi động"</t>
  </si>
  <si>
    <t>Mở popup: "Cấu hình bản đồ"</t>
  </si>
  <si>
    <t>Cấu hình bản đồ</t>
  </si>
  <si>
    <t>Minitor196</t>
  </si>
  <si>
    <t>Loại bản đồ: Bình Anh</t>
  </si>
  <si>
    <t>1. Tại popup: "Cấu hình bản đồ"
2. Nhập các thông tin:
- Loại bản đồ (*): Bình Anh
- Kinh độ (*): 105,863228
- Vĩ độ (*): 20,976026
- Mức zoom(*): 14
=&gt; Lưu &gt; check hiển thị</t>
  </si>
  <si>
    <t>Hiện thị thông báo: "Cập nhật dữ liệu thành công"</t>
  </si>
  <si>
    <t>Minitor197</t>
  </si>
  <si>
    <t>Loại bản đồ: Vệ tinh</t>
  </si>
  <si>
    <t>1. Tại popup: "Cấu hình bản đồ"
2. Nhập các thông tin:
- Loại bản đồ (*): Vệ tinh
- Kinh độ (*): 105,863228
- Vĩ độ (*): 20,976026
- Mức zoom(*): 14
=&gt; Lưu &gt; check hiển thị</t>
  </si>
  <si>
    <t>Minitor198</t>
  </si>
  <si>
    <t>Loại bản đồ: Bản đồ</t>
  </si>
  <si>
    <t>1. Tại popup: "Cấu hình bản đồ"
2. Nhập các thông tin:
- Loại bản đồ (*): Bản đồ
- Kinh độ (*): 105,863228
- Vĩ độ (*): 20,976026
- Mức zoom(*): 14
=&gt; Lưu &gt; check hiển thị</t>
  </si>
  <si>
    <t>III.Giám sát(Giám sát nhiều xe)</t>
  </si>
  <si>
    <t>Minitor199</t>
  </si>
  <si>
    <t>Mở trang "Giám sát nhiều xe"</t>
  </si>
  <si>
    <t>1. Login vào hệ thống
2. hover chức năng "Giám sát" &gt; Chọn "Giám sát nhiều xe"</t>
  </si>
  <si>
    <t>Chuyển tới trang giám sát nhiều xe với màn hình mặc định của xe đầu tiên danh sách(Hiện trạng xe)</t>
  </si>
  <si>
    <t>Minitor200</t>
  </si>
  <si>
    <t>Chọn 3 xe</t>
  </si>
  <si>
    <t>1. Login vào hệ thống tại trang "giám sát nhiều xe"
2. Click đúp vào 3 xe ở danh sách</t>
  </si>
  <si>
    <t>Hiển thị màn hình giám sát 3 xe</t>
  </si>
  <si>
    <t>Minitor201</t>
  </si>
  <si>
    <t>Chọn 1 xe</t>
  </si>
  <si>
    <t>1. Login vào hệ thống tại trang "giám sát nhiều xe"
2. Click đúp vào 1 xe ở danh sách</t>
  </si>
  <si>
    <t>Hiển thị màn hình giám sát 1 xe</t>
  </si>
  <si>
    <t>Minitor202</t>
  </si>
  <si>
    <t>Icon "Phóng to"</t>
  </si>
  <si>
    <t>1. Tại trang "giám sát nhiều xe" và đã click chọn xe
2. Chọn icon "Phóng to"</t>
  </si>
  <si>
    <t>Phóng to màn hình giám sát đang chọn</t>
  </si>
  <si>
    <t xml:space="preserve">                         Hiện trạng xe: 104-15A18684       Hiện trạngThông tin BGTVị trí: P. Kiến An, TP. Hải PhòngThông tin xeLoại xeVF 6 5 Số chỗNgày/Giờ17:29  29/12/2025Xe này chưa được gán lái xeVận tốc GPS/Cơ0/0 Km/hGaraGara Én VàngĐã dừng114 phútMáyTắtTrạng tháiKhông kháchNhóm độiXe Công VụLoại đồng hồBATMDoanh thu  KM CK/Rỗng0,00 Km/31,54 KmTổng CK0Tổng doanh thu0 VNDSố VIN 00000000001Lái xeChưa gán lái xeGiấy phép lái xeLAI XE DANG XUATQuá tốc độ0 lầnTG LX liên tục0 phútTG LX trong ngày56 phútSở quản lýThành phố Hải Phòng</t>
  </si>
  <si>
    <t>Minitor203</t>
  </si>
  <si>
    <t>Icon "Đóng"</t>
  </si>
  <si>
    <t>1. Tại trang "giám sát nhiều xe" và đã click chọn xe
2. Chọn icon "Đóng"</t>
  </si>
  <si>
    <t>Đóng màn hình giám sát đang chọn</t>
  </si>
  <si>
    <t>1. Hiện trạng xe: số hiệu -biển số</t>
  </si>
  <si>
    <t>Minitor204</t>
  </si>
  <si>
    <t>số hiệu -biển số</t>
  </si>
  <si>
    <t>1. tại trang "giám sát nhiều xe" và chọn 1 màn hình giám sát</t>
  </si>
  <si>
    <t>1.1 Hiện trạng</t>
  </si>
  <si>
    <t>Minitor205</t>
  </si>
  <si>
    <t>Vị trí:</t>
  </si>
  <si>
    <t>1. tại trang "giám sát nhiều xe" và chọn 1 màn hình giám sát
2. Chọn "Hiện trạng"</t>
  </si>
  <si>
    <t>Vị trí: P. Kiến An, TP. Hải Phòng</t>
  </si>
  <si>
    <t>Minitor206</t>
  </si>
  <si>
    <t>VF 6 5 Số chỗ</t>
  </si>
  <si>
    <t>Minitor207</t>
  </si>
  <si>
    <t>17:32  29/12/2025</t>
  </si>
  <si>
    <t>Minitor208</t>
  </si>
  <si>
    <t>Không hiển thị</t>
  </si>
  <si>
    <t>Minitor209</t>
  </si>
  <si>
    <t>Minitor210</t>
  </si>
  <si>
    <t>0/0 Km/h</t>
  </si>
  <si>
    <t>Minitor211</t>
  </si>
  <si>
    <t>Gara Én Vàng</t>
  </si>
  <si>
    <t>Minitor212</t>
  </si>
  <si>
    <t>Minitor213</t>
  </si>
  <si>
    <t>Tắt</t>
  </si>
  <si>
    <t>Minitor214</t>
  </si>
  <si>
    <t>Minitor215</t>
  </si>
  <si>
    <t>Xe Công Vụ</t>
  </si>
  <si>
    <t>Minitor216</t>
  </si>
  <si>
    <t>BATM</t>
  </si>
  <si>
    <t>Minitor217</t>
  </si>
  <si>
    <t>0,00 Km/31,54 Km</t>
  </si>
  <si>
    <t>Minitor218</t>
  </si>
  <si>
    <t>0</t>
  </si>
  <si>
    <t>Minitor219</t>
  </si>
  <si>
    <t>0 VND</t>
  </si>
  <si>
    <t>Minitor220</t>
  </si>
  <si>
    <t>Minitor221</t>
  </si>
  <si>
    <t>Minitor222</t>
  </si>
  <si>
    <t>Minitor223</t>
  </si>
  <si>
    <t>Thông tin phí:</t>
  </si>
  <si>
    <t>1.2 Thông tin BGT</t>
  </si>
  <si>
    <t>Minitor224</t>
  </si>
  <si>
    <t>Số VIN</t>
  </si>
  <si>
    <t>1. Tại trang "giám sát nhiều xe" và chọn 1 màn hình giám sát
2. Chọn "Thông tin BGT"</t>
  </si>
  <si>
    <t xml:space="preserve"> 00000000001</t>
  </si>
  <si>
    <t>Minitor225</t>
  </si>
  <si>
    <t>Chưa gán lái xe</t>
  </si>
  <si>
    <t>Minitor226</t>
  </si>
  <si>
    <t>LAI XE DANG XUAT</t>
  </si>
  <si>
    <t>Minitor227</t>
  </si>
  <si>
    <t>0 lần</t>
  </si>
  <si>
    <t>Minitor228</t>
  </si>
  <si>
    <t>0 phút</t>
  </si>
  <si>
    <t>Minitor229</t>
  </si>
  <si>
    <t>56 phút</t>
  </si>
  <si>
    <t>Minitor230</t>
  </si>
  <si>
    <t>Thành phố Hải Phòng</t>
  </si>
  <si>
    <t>IV.Lộ Trình</t>
  </si>
  <si>
    <t>Route01</t>
  </si>
  <si>
    <t>Mở trang "Lộ trình"</t>
  </si>
  <si>
    <t>1. Login vào hệ thống &gt; Chọn chức năng "Lộ trình"</t>
  </si>
  <si>
    <t>Chuyển đến trang lộ trình, hiện thị trường: " Tốc độ : "</t>
  </si>
  <si>
    <t xml:space="preserve">Tốc độ : </t>
  </si>
  <si>
    <t>1. Lấy dữ liệu</t>
  </si>
  <si>
    <t>Route02</t>
  </si>
  <si>
    <t>Icon "Lấy dữ liệu"</t>
  </si>
  <si>
    <t>1. Tại màn hình "Lộ trình" 
2. Chọn từ ngày đến ngày: Lấy theo ngày hiện tại
3. Chọn hoặc nhập biển số muốn theo dõi &gt; Chọn icon "Lấy dữ liệu"</t>
  </si>
  <si>
    <t>Hiển thị lộ trình xe ở popup Lộ trình, và lộ trình xe ở map</t>
  </si>
  <si>
    <t>28/12 00:05:23</t>
  </si>
  <si>
    <t>2. Cấu hình</t>
  </si>
  <si>
    <t>Route03</t>
  </si>
  <si>
    <t>Icon "Cấu hình"</t>
  </si>
  <si>
    <t>1. Tại màn hình "Lộ trình" và đã lấy dữ liệu
2. Chọn icon "Cấu hình"</t>
  </si>
  <si>
    <t>Mở danh sách check box cấu hình, hiển thị trường: "Hiển thị mắt thần"</t>
  </si>
  <si>
    <t>Hiển thị mắt thần</t>
  </si>
  <si>
    <t>Route04</t>
  </si>
  <si>
    <t>1. Tại màn hình "Lộ trình" và đã lấy dữ liệu
2. Chọn icon "Cấu hình" &gt; Tích chọn "Hiển thị mắt thần"</t>
  </si>
  <si>
    <t>Chỉ check có trường ở cấu hình không</t>
  </si>
  <si>
    <t>Route05</t>
  </si>
  <si>
    <t>Gộp dừng đỗ</t>
  </si>
  <si>
    <t>1. Tại màn hình "Lộ trình" và đã lấy dữ liệu
2. Chọn icon "Cấu hình" &gt; Tích chọn "Gộp dừng đỗ"</t>
  </si>
  <si>
    <t>Route06</t>
  </si>
  <si>
    <t>Hiển thị V cơ</t>
  </si>
  <si>
    <t>1. Tại màn hình "Lộ trình" và đã lấy dữ liệu
2. Chọn icon "Cấu hình" &gt; Tích chọn "Hiển thị V cơ"</t>
  </si>
  <si>
    <t>Hiển thị thêm trường: "V cơ"</t>
  </si>
  <si>
    <t>V cơ</t>
  </si>
  <si>
    <t>Route07</t>
  </si>
  <si>
    <t>Hiển thị Km</t>
  </si>
  <si>
    <t>1. Tại màn hình "Lộ trình" và đã lấy dữ liệu
2. Chọn icon "Cấu hình" &gt; Tích chọn "Hiển thị Km"</t>
  </si>
  <si>
    <t>Hiển thị thêm trường: "Km"</t>
  </si>
  <si>
    <t>Km</t>
  </si>
  <si>
    <t>Route08</t>
  </si>
  <si>
    <t>Hiển thị Máy</t>
  </si>
  <si>
    <t>1. Tại màn hình "Lộ trình" và đã lấy dữ liệu
2. Chọn icon "Cấu hình" &gt; Tích chọn "Hiển thị Máy"</t>
  </si>
  <si>
    <t>Hiển thị thêm trường: "Máy"</t>
  </si>
  <si>
    <t>Route09</t>
  </si>
  <si>
    <t>Hiển thị Điều hòa</t>
  </si>
  <si>
    <t>1. Tại màn hình "Lộ trình" và đã lấy dữ liệu
2. Chọn icon "Cấu hình" &gt; Tích chọn "Hiển thị Điều hòa"</t>
  </si>
  <si>
    <t>Hiển thị thêm trường: "Điều hòa"</t>
  </si>
  <si>
    <t>Route10</t>
  </si>
  <si>
    <t>Hiển thị Kinh độ, vĩ độ</t>
  </si>
  <si>
    <t>1. Tại màn hình "Lộ trình" và đã lấy dữ liệu
2. Chọn icon "Cấu hình" &gt; Tích chọn "Hiển thị Kinh độ, vĩ độ"</t>
  </si>
  <si>
    <t>Hiển thị thêm trường: "Kinh độ, vĩ độ"</t>
  </si>
  <si>
    <t>Kinh độ, vĩ độ</t>
  </si>
  <si>
    <t>Route11</t>
  </si>
  <si>
    <t xml:space="preserve">Hiển thị V BGT  </t>
  </si>
  <si>
    <t>1. Tại màn hình "Lộ trình" và đã lấy dữ liệu
2. Chọn icon "Cấu hình" &gt; Tích chọn "Hiển thị V BGT"</t>
  </si>
  <si>
    <t>Hiển thị thêm trường: "VBGT"</t>
  </si>
  <si>
    <t>VBGT</t>
  </si>
  <si>
    <t>Route12</t>
  </si>
  <si>
    <t>Hiển thị Địa điểm đón trả khách</t>
  </si>
  <si>
    <t>1. Tại màn hình "Lộ trình" và đã lấy dữ liệu
2. Chọn icon "Cấu hình" &gt; Tích chọn "Hiển thị Địa điểm đón trả khách"</t>
  </si>
  <si>
    <t>Hiển thị Địa điểm đón trả khách</t>
  </si>
  <si>
    <t>Route13</t>
  </si>
  <si>
    <t>Hiển thị Điểm, vùng</t>
  </si>
  <si>
    <t>1. Tại màn hình "Lộ trình" và đã lấy dữ liệu
2. Chọn icon "Cấu hình" &gt; Tích chọn "Hiển thị Điểm, vùng"</t>
  </si>
  <si>
    <t>Hiển thị Điểm, vùng</t>
  </si>
  <si>
    <t>Route14</t>
  </si>
  <si>
    <t>Hiển thị nhiệt độ</t>
  </si>
  <si>
    <t>1. Tại màn hình "Lộ trình" và đã lấy dữ liệu
2. Chọn icon "Cấu hình" &gt; Tích chọn "Hiển thị nhiệt độ"</t>
  </si>
  <si>
    <t>Hiển thị thêm trường: "Nhiệt độ"</t>
  </si>
  <si>
    <t>Nhiệt độ</t>
  </si>
  <si>
    <t>Route15</t>
  </si>
  <si>
    <t>Thời gian</t>
  </si>
  <si>
    <t>Trường mặc định</t>
  </si>
  <si>
    <t>Route16</t>
  </si>
  <si>
    <t>V GPS</t>
  </si>
  <si>
    <t>3. Trợ giúp</t>
  </si>
  <si>
    <t>Route17</t>
  </si>
  <si>
    <t>Icon "Trợ giúp"</t>
  </si>
  <si>
    <t>1. Tại màn hình "Lộ trình" 
2.  Chọn icon "trợ giúp"</t>
  </si>
  <si>
    <t>Mở popup: "Trợ giúp" và hiển thị các trường: Cảnh báo, Không khách, Có khách, Dừng</t>
  </si>
  <si>
    <t>Trợ Giúp</t>
  </si>
  <si>
    <t>4. Icon khác</t>
  </si>
  <si>
    <t>Route18</t>
  </si>
  <si>
    <t>Icon "Chạy"</t>
  </si>
  <si>
    <t>1. Tại màn hình "Lộ trình" và đã lấy dữ liệu
2. Chọn icon "Chạy"</t>
  </si>
  <si>
    <t>Check check có hiển thị hay không</t>
  </si>
  <si>
    <t>Route19</t>
  </si>
  <si>
    <t>Icon "Dừng"</t>
  </si>
  <si>
    <t>1. Tại màn hình "Lộ trình" và đã lấy dữ liệu
2. Chọn icon "Dừng"</t>
  </si>
  <si>
    <t>Route20</t>
  </si>
  <si>
    <t>Icon "Giảm tốc"</t>
  </si>
  <si>
    <t>1. Tại màn hình "Lộ trình" và đã lấy dữ liệu
2. Chọn icon "Giảm tốc"</t>
  </si>
  <si>
    <t>Route21</t>
  </si>
  <si>
    <t>Icon "Tăng tốc"</t>
  </si>
  <si>
    <t>1. Tại màn hình "Lộ trình" và đã lấy dữ liệu
2. Chọn icon "Tăng tốc"</t>
  </si>
  <si>
    <t>Route22</t>
  </si>
  <si>
    <t>Icon "Tốc độ tối đa"</t>
  </si>
  <si>
    <t>1. Tại màn hình "Lộ trình" và đã lấy dữ liệu
2. Chọn icon "Tốc độ tối đa"</t>
  </si>
  <si>
    <t>Route23</t>
  </si>
  <si>
    <t>Icon "In"</t>
  </si>
  <si>
    <t>1. Tại màn hình "Lộ trình" và đã lấy dữ liệu
2. Chọn icon "In"</t>
  </si>
  <si>
    <t>Mở tab mới, chuyển tới trang "Bản đồ lộ trình xe chạy"</t>
  </si>
  <si>
    <t>Bản đồ lộ trình xe chạy</t>
  </si>
  <si>
    <t>Route24</t>
  </si>
  <si>
    <t>Icon "Xuất excel"</t>
  </si>
  <si>
    <t>1. Tại màn hình "Lộ trình" và đã lấy dữ liệu
2. Chọn icon "Xuất excel"</t>
  </si>
  <si>
    <t>Tải file excel chứ danh sách lộ trình về máy
(Chỉ check tải, không check dữ liệu)</t>
  </si>
  <si>
    <t>V.Báo cáo</t>
  </si>
  <si>
    <t>1.Báo cáo chi tiết cuốc khách theo xe</t>
  </si>
  <si>
    <t>Report01</t>
  </si>
  <si>
    <t>Mở báo cáo "Báo cáo chi tiết cuốc khách theo xe"</t>
  </si>
  <si>
    <t xml:space="preserve">1. Login vào hệ thống
2. Chọn chức năng "BÁO CÁO" &gt; DOANH THU &amp; HIỆU SUẤT KINH DOANH &gt; Báo cáo chi tiết cuốc khách theo xe </t>
  </si>
  <si>
    <t>Chuyển tới trang: "BÁO CÁO CHI TIẾT CUỐC KHÁCH THEO XE"</t>
  </si>
  <si>
    <t xml:space="preserve"> BÁO CÁO CHI TIẾT CUỐC KHÁCH THEO XE</t>
  </si>
  <si>
    <t>Report02</t>
  </si>
  <si>
    <t>1. Tại trang: "BÁO CÁO CHI TIẾT CUỐC KHÁCH THEO XE" nhập thông tin tìm kiếm:
- Nhóm đội: 
- Số hiệu xe: Tất cả
- Từ ngày: 00:00 Ngày hiện tại
- Đến ngày: Giờ hiện tại, Ngày hiện tại
- Loại cuốc khách: Tất cả
- Thời gian chờ: 0
- Km có khách: 0,000
- Km rỗng: 0,000
- Từ tiền:
-  Đến tiền:
- Nhóm loại xe: Tất cả
- Loại xe: Tất cả
2. Chọn button "Tìm kiếm"</t>
  </si>
  <si>
    <t>Hiển thị dữ liệu từ ngày đến ngày và có data dòng đầu tiên</t>
  </si>
  <si>
    <t>15F01094</t>
  </si>
  <si>
    <t>Report03</t>
  </si>
  <si>
    <t>Báo cáo</t>
  </si>
  <si>
    <t>1. Tại trang: "BÁO CÁO CHI TIẾT CUỐC KHÁCH THEO XE" và đã tìm kiếm
2. Chọn icon "Báo cáo"</t>
  </si>
  <si>
    <t>Mở màn hình xem trước khi in: "Báo cáo chi tiết cuốc khách theo xe"</t>
  </si>
  <si>
    <t>Báo cáo chi tiết cuốc khách theo xe</t>
  </si>
  <si>
    <t xml:space="preserve"> </t>
  </si>
  <si>
    <t>Report04</t>
  </si>
  <si>
    <t>1. Tại trang: "BÁO CÁO CHI TIẾT CUỐC KHÁCH THEO XE" và đã tìm kiếm
2. Chọn icon "Xuất Excel"</t>
  </si>
  <si>
    <t>2.Báo cáo tổng hợp cuốc khách theo xe</t>
  </si>
  <si>
    <t>Report05</t>
  </si>
  <si>
    <t>Mở báo cáo "Báo cáo tổng hợp cuốc khách theo xe"</t>
  </si>
  <si>
    <t>1. Login vào hệ thống
2. Chọn chức năng "BÁO CÁO" &gt; DOANH THU &amp; HIỆU SUẤT KINH DOANH &gt; Báo cáo tổng hợp cuốc khách theo xe</t>
  </si>
  <si>
    <t>Chuyển tới trang: "BÁO CÁO TỔNG HỢP CUỐC KHÁCH THEO XE"</t>
  </si>
  <si>
    <t xml:space="preserve"> BÁO CÁO TỔNG HỢP CUỐC KHÁCH THEO XE</t>
  </si>
  <si>
    <t>Report06</t>
  </si>
  <si>
    <t>1. Tại trang: "BÁO CÁO TỔNG HỢP CUỐC KHÁCH THEO XE" nhập thông tin tìm kiếm:
- Nhóm đội: 
- Số hiệu xe: Tất cả
- Từ ngày: 00:00 Ngày hiện tại
- Đến ngày: Giờ hiện tại, Ngày hiện tại
- Tiền thực thu (đồng) : Từ
-  Đến:
- % có khách: 0,00
-  Thời gian chờ: 0
- Km có khách: 0
- Km rỗng: 0
- Lái xe: Tất cả
2. Chọn button "Tìm kiếm"</t>
  </si>
  <si>
    <t>Xpander</t>
  </si>
  <si>
    <t>Report07</t>
  </si>
  <si>
    <t>1. Tại trang: "BÁO CÁO TỔNG HỢP CUỐC KHÁCH THEO XE" và đã tìm kiếm
2. Chọn icon "Báo cáo"</t>
  </si>
  <si>
    <t>Mở màn hình xem trước khi in: "In báo cáo"</t>
  </si>
  <si>
    <t>In báo cáo</t>
  </si>
  <si>
    <t>Report08</t>
  </si>
  <si>
    <t>1. Tại trang: BÁO CÁO TỔNG HỢP CUỐC KHÁCH THEO XE" và đã tìm kiếm
2. Chọn icon "Xuất Excel"</t>
  </si>
  <si>
    <t>❌ Ô (Row=3, Col=5): Excel='65.19' | Web='65,19'
❌ Ô (Row=3, Col=6): Excel='33.86' | Web='33,86'
❌ Ô (Row=3, Col=7): Excel='51.94' | Web='51,94'
❌ Ô (Row=3, Col=8): Excel='591300' | Web='591.300'
❌ Ô (Row=3, Col=9): Excel='591300' | Web='591.300'
❌ Ô (Row=3, Col=5): Excel='65.19' | Web='65,19'
❌ Ô (Row=3, Col=6): Excel='33.86' | Web='33,86'
❌ Ô (Row=3, Col=7): Excel='51.94' | Web='51,94'
❌ Ô (Row=3, Col=8): Excel='591300' | Web='591.300'
❌ Ô (Row=3, Col=9): Excel='591300' | Web='591.300'</t>
  </si>
  <si>
    <t>3. Báo cáo quá tốc độ</t>
  </si>
  <si>
    <t>Report09</t>
  </si>
  <si>
    <t>1. Login vào hệ thống
2. Chọn chức năng "BÁO CÁO" &gt; BÁO CÁO HOẠT ĐỘNG XE &gt; Báo cáo quá tốc độ</t>
  </si>
  <si>
    <t>Chuyển tới trang: "BÁO CÁO QUÁ TỐC ĐỘ"</t>
  </si>
  <si>
    <t xml:space="preserve"> BÁO CÁO QUÁ TỐC ĐỘ</t>
  </si>
  <si>
    <t>Report10</t>
  </si>
  <si>
    <t>1. Tại trang: "BÁO CÁO QUÁ TỐC ĐỘ" nhập thông tin tìm kiếm:
- Nhóm đội: 
- Số hiệu xe: Tất cả
- Từ ngày: 00:00 Ngày hiện tại
- Đến ngày: Giờ hiện tại, Ngày hiện tại
- Tốc độ &gt;=: 60
- Thời gian vi phạm (giây) &gt;=: 1
2. Chọn button "Tìm kiếm"</t>
  </si>
  <si>
    <t xml:space="preserve"> 10:07 29/12/2025</t>
  </si>
  <si>
    <t>Report11</t>
  </si>
  <si>
    <t>1. Tại trang: BÁO CÁO QUÁ TỐC ĐỘ" và đã tìm kiếm
2. Chọn icon "Xuất Excel"</t>
  </si>
  <si>
    <t>Ngoài hiển tổng số lượng case pass, fail trên báo cáo QA cần lọc theo mức độ độ tool đã chạy , kiểm tra các 
case trống mà tool không chạy được &gt; nhưng case này có tỷ lệ có vấn đề phát sinh</t>
  </si>
  <si>
    <t>*Lưu ý:
- case pass: đã vượt qua
- case fail: sai thông tin, mất trường, lỗi load
- case trống: mất trường, lỗi load</t>
  </si>
  <si>
    <t>Bỏ không chạy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</si>
</sst>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font>
      <sz val="11"/>
      <color theme="1"/>
      <name val="Calibri"/>
      <charset val="134"/>
      <scheme val="minor"/>
    </font>
    <font>
      <b/>
      <sz val="11"/>
      <color theme="1"/>
      <name val="Calibri"/>
      <charset val="134"/>
      <scheme val="minor"/>
    </font>
    <font>
      <sz val="14"/>
      <color theme="1"/>
      <name val="Calibri"/>
      <charset val="134"/>
      <scheme val="minor"/>
    </font>
    <font>
      <sz val="14"/>
      <color rgb="FF000000"/>
      <name val="Calibri"/>
      <charset val="134"/>
    </font>
    <font>
      <b/>
      <sz val="14"/>
      <color rgb="FF000000"/>
      <name val="Calibri"/>
      <charset val="134"/>
    </font>
    <font>
      <b/>
      <sz val="14"/>
      <color rgb="FFFFFFFF"/>
      <name val="Calibri"/>
      <charset val="134"/>
    </font>
    <font>
      <sz val="14"/>
      <color rgb="FF000000"/>
      <name val="Calibri"/>
      <charset val="134"/>
      <scheme val="minor"/>
    </font>
    <font>
      <u/>
      <sz val="11"/>
      <color theme="10"/>
      <name val="Calibri"/>
      <charset val="134"/>
      <scheme val="minor"/>
    </font>
    <font>
      <b/>
      <sz val="14"/>
      <color rgb="FF000000"/>
      <name val="Calibri"/>
      <charset val="134"/>
      <scheme val="minor"/>
    </font>
    <font>
      <b/>
      <sz val="14"/>
      <color rgb="FFFFFFFF"/>
      <name val="Calibri"/>
      <charset val="134"/>
      <scheme val="minor"/>
    </font>
    <font>
      <sz val="14"/>
      <color rgb="FF000000"/>
      <name val="Calibri"/>
      <family val="2"/>
    </font>
    <font>
      <u/>
      <sz val="11"/>
      <color theme="10"/>
      <name val="Calibri"/>
      <family val="2"/>
      <scheme val="minor"/>
    </font>
    <font>
      <sz val="14"/>
      <color theme="1"/>
      <name val="Calibri"/>
      <family val="2"/>
      <scheme val="minor"/>
    </font>
    <font>
      <b/>
      <sz val="14"/>
      <color rgb="FF000000"/>
      <name val="Calibri"/>
      <family val="2"/>
    </font>
    <font>
      <sz val="14"/>
      <color rgb="FF000000"/>
      <name val="Calibri"/>
      <family val="2"/>
      <scheme val="minor"/>
    </font>
    <font>
      <b/>
      <sz val="14"/>
      <color rgb="FF000000"/>
      <name val="Calibri"/>
      <family val="2"/>
      <scheme val="minor"/>
    </font>
    <font>
      <sz val="14"/>
      <color theme="1"/>
      <name val="Calibri"/>
      <family val="2"/>
    </font>
  </fonts>
  <fills count="8">
    <fill>
      <patternFill patternType="none"/>
    </fill>
    <fill>
      <patternFill patternType="gray125"/>
    </fill>
    <fill>
      <patternFill patternType="solid">
        <fgColor rgb="FF002060"/>
        <bgColor indexed="64"/>
      </patternFill>
    </fill>
    <fill>
      <patternFill patternType="solid">
        <fgColor rgb="FFFFC000"/>
        <bgColor indexed="64"/>
      </patternFill>
    </fill>
    <fill>
      <patternFill patternType="solid">
        <fgColor rgb="FFA9D08E"/>
        <bgColor indexed="64"/>
      </patternFill>
    </fill>
    <fill>
      <patternFill patternType="solid">
        <fgColor rgb="FFBFBFBF"/>
        <bgColor indexed="64"/>
      </patternFill>
    </fill>
    <fill>
      <patternFill patternType="solid">
        <fgColor rgb="FFFFFF00"/>
        <bgColor indexed="64"/>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bottom/>
      <diagonal/>
    </border>
  </borders>
  <cellStyleXfs count="2">
    <xf numFmtId="0" fontId="0" fillId="0" borderId="0"/>
    <xf numFmtId="0" fontId="7" fillId="0" borderId="0"/>
  </cellStyleXfs>
  <cellXfs count="104">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vertical="top"/>
    </xf>
    <xf numFmtId="0" fontId="3"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1" xfId="0" applyFont="1" applyBorder="1" applyAlignment="1">
      <alignment horizontal="left" vertical="top"/>
    </xf>
    <xf numFmtId="0" fontId="3" fillId="0" borderId="1" xfId="0" applyFont="1" applyBorder="1" applyAlignment="1">
      <alignment horizontal="left" vertical="top" wrapText="1"/>
    </xf>
    <xf numFmtId="0" fontId="3"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top" wrapText="1"/>
    </xf>
    <xf numFmtId="0" fontId="2" fillId="0" borderId="1" xfId="0" applyFont="1" applyBorder="1" applyAlignment="1">
      <alignment horizontal="center" vertical="center"/>
    </xf>
    <xf numFmtId="0" fontId="3" fillId="0" borderId="1" xfId="0" applyFont="1" applyBorder="1" applyAlignment="1">
      <alignment horizontal="center" vertical="top" wrapText="1"/>
    </xf>
    <xf numFmtId="0" fontId="5" fillId="2" borderId="1" xfId="0" applyFont="1" applyFill="1" applyBorder="1" applyAlignment="1">
      <alignment horizontal="center" vertical="center" wrapText="1"/>
    </xf>
    <xf numFmtId="0" fontId="4" fillId="3" borderId="1" xfId="0" applyFont="1" applyFill="1" applyBorder="1" applyAlignment="1">
      <alignment horizontal="left" vertical="center"/>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top"/>
    </xf>
    <xf numFmtId="0" fontId="4" fillId="3" borderId="1" xfId="0" applyFont="1" applyFill="1" applyBorder="1" applyAlignment="1">
      <alignment horizontal="left" vertical="top" wrapText="1"/>
    </xf>
    <xf numFmtId="0" fontId="4" fillId="3" borderId="1" xfId="0" applyFont="1" applyFill="1" applyBorder="1" applyAlignment="1">
      <alignment horizontal="left" vertical="center" wrapText="1"/>
    </xf>
    <xf numFmtId="0" fontId="3" fillId="4" borderId="1" xfId="0" applyFont="1" applyFill="1" applyBorder="1" applyAlignment="1">
      <alignment horizontal="left" vertical="center"/>
    </xf>
    <xf numFmtId="0" fontId="3" fillId="4" borderId="1" xfId="0" applyFont="1" applyFill="1" applyBorder="1" applyAlignment="1">
      <alignment horizontal="left" vertical="center" wrapText="1"/>
    </xf>
    <xf numFmtId="0" fontId="3" fillId="4" borderId="1" xfId="0" applyFont="1" applyFill="1" applyBorder="1" applyAlignment="1">
      <alignment horizontal="center" vertical="center"/>
    </xf>
    <xf numFmtId="0" fontId="6" fillId="0" borderId="1" xfId="0" applyFont="1" applyBorder="1" applyAlignment="1">
      <alignment horizontal="center" vertical="center" wrapText="1"/>
    </xf>
    <xf numFmtId="0" fontId="7" fillId="0" borderId="1" xfId="1" applyBorder="1"/>
    <xf numFmtId="11" fontId="3" fillId="0" borderId="1" xfId="0" applyNumberFormat="1" applyFont="1" applyBorder="1" applyAlignment="1">
      <alignment horizontal="center" vertical="center" wrapText="1"/>
    </xf>
    <xf numFmtId="0" fontId="3" fillId="4" borderId="1" xfId="0" applyFont="1" applyFill="1" applyBorder="1" applyAlignment="1">
      <alignment horizontal="left" vertical="top"/>
    </xf>
    <xf numFmtId="0" fontId="6" fillId="4" borderId="1" xfId="0" applyFont="1" applyFill="1" applyBorder="1" applyAlignment="1">
      <alignment horizontal="center" vertical="center"/>
    </xf>
    <xf numFmtId="0" fontId="8" fillId="3" borderId="1" xfId="0" applyFont="1" applyFill="1" applyBorder="1" applyAlignment="1">
      <alignment horizontal="center" vertical="center" wrapText="1"/>
    </xf>
    <xf numFmtId="11" fontId="3" fillId="4" borderId="1" xfId="0" applyNumberFormat="1" applyFont="1" applyFill="1" applyBorder="1" applyAlignment="1">
      <alignment horizontal="center" vertical="center"/>
    </xf>
    <xf numFmtId="0" fontId="6" fillId="0" borderId="1" xfId="0" applyFont="1" applyBorder="1" applyAlignment="1">
      <alignment horizontal="left" vertical="center" wrapText="1"/>
    </xf>
    <xf numFmtId="0" fontId="6" fillId="0" borderId="1" xfId="0" applyFont="1" applyBorder="1" applyAlignment="1">
      <alignment horizontal="left" vertical="top" wrapText="1"/>
    </xf>
    <xf numFmtId="0" fontId="3" fillId="5" borderId="1" xfId="0" applyFont="1" applyFill="1" applyBorder="1" applyAlignment="1">
      <alignment horizontal="left" vertical="center"/>
    </xf>
    <xf numFmtId="0" fontId="3" fillId="5" borderId="1" xfId="0" applyFont="1" applyFill="1" applyBorder="1" applyAlignment="1">
      <alignment horizontal="center" vertical="center" wrapText="1"/>
    </xf>
    <xf numFmtId="0" fontId="3" fillId="5" borderId="1" xfId="0" applyFont="1" applyFill="1" applyBorder="1" applyAlignment="1">
      <alignment horizontal="left" vertical="top"/>
    </xf>
    <xf numFmtId="0" fontId="3" fillId="5" borderId="1" xfId="0" applyFont="1" applyFill="1" applyBorder="1" applyAlignment="1">
      <alignment horizontal="left" vertical="top" wrapText="1"/>
    </xf>
    <xf numFmtId="0" fontId="3" fillId="5"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2" fillId="0" borderId="1" xfId="0" applyFont="1" applyBorder="1" applyAlignment="1">
      <alignment vertical="center"/>
    </xf>
    <xf numFmtId="0" fontId="2" fillId="0" borderId="1" xfId="0" applyFont="1" applyBorder="1" applyAlignment="1">
      <alignment vertical="top"/>
    </xf>
    <xf numFmtId="0" fontId="2" fillId="0" borderId="1" xfId="0" applyFont="1" applyBorder="1"/>
    <xf numFmtId="0" fontId="3" fillId="5" borderId="1" xfId="0" applyFont="1" applyFill="1" applyBorder="1" applyAlignment="1">
      <alignment horizontal="center" vertical="center"/>
    </xf>
    <xf numFmtId="0" fontId="8" fillId="3" borderId="1" xfId="0" applyFont="1" applyFill="1" applyBorder="1" applyAlignment="1">
      <alignment horizontal="left" vertical="center" wrapText="1"/>
    </xf>
    <xf numFmtId="0" fontId="8" fillId="3" borderId="1" xfId="0" applyFont="1" applyFill="1" applyBorder="1" applyAlignment="1">
      <alignment horizontal="left" vertical="top" wrapText="1"/>
    </xf>
    <xf numFmtId="0" fontId="2" fillId="0" borderId="1" xfId="0" applyFont="1" applyBorder="1" applyAlignment="1">
      <alignment vertical="center" wrapText="1"/>
    </xf>
    <xf numFmtId="0" fontId="6" fillId="4" borderId="1" xfId="0" applyFont="1" applyFill="1" applyBorder="1" applyAlignment="1">
      <alignment horizontal="center" vertical="center" wrapText="1"/>
    </xf>
    <xf numFmtId="0" fontId="3" fillId="0" borderId="1" xfId="0" quotePrefix="1" applyFont="1" applyBorder="1" applyAlignment="1">
      <alignment horizontal="left" vertical="top" wrapText="1"/>
    </xf>
    <xf numFmtId="0" fontId="7" fillId="0" borderId="1" xfId="1" applyBorder="1" applyAlignment="1">
      <alignment vertical="center"/>
    </xf>
    <xf numFmtId="0" fontId="10" fillId="6" borderId="1" xfId="0" applyFont="1" applyFill="1" applyBorder="1" applyAlignment="1">
      <alignment horizontal="center" vertical="center" wrapText="1"/>
    </xf>
    <xf numFmtId="0" fontId="7" fillId="0" borderId="0" xfId="1"/>
    <xf numFmtId="0" fontId="10" fillId="0" borderId="1" xfId="0" applyFont="1" applyBorder="1" applyAlignment="1">
      <alignment horizontal="left" vertical="top" wrapText="1"/>
    </xf>
    <xf numFmtId="0" fontId="10" fillId="0" borderId="1" xfId="0" quotePrefix="1" applyFont="1" applyBorder="1" applyAlignment="1">
      <alignment horizontal="left" vertical="top" wrapText="1"/>
    </xf>
    <xf numFmtId="0" fontId="10" fillId="0" borderId="1" xfId="0" applyFont="1" applyBorder="1" applyAlignment="1">
      <alignment horizontal="left" vertical="center" wrapText="1"/>
    </xf>
    <xf numFmtId="0" fontId="10" fillId="5" borderId="1" xfId="0" applyFont="1" applyFill="1" applyBorder="1" applyAlignment="1">
      <alignment horizontal="left" vertical="center"/>
    </xf>
    <xf numFmtId="0" fontId="10" fillId="0" borderId="1" xfId="0" applyFont="1" applyBorder="1" applyAlignment="1">
      <alignment horizontal="center" vertical="center" wrapText="1"/>
    </xf>
    <xf numFmtId="0" fontId="11" fillId="0" borderId="1" xfId="1" applyFont="1" applyBorder="1" applyAlignment="1">
      <alignment vertical="center"/>
    </xf>
    <xf numFmtId="0" fontId="10" fillId="5" borderId="1" xfId="0" applyFont="1" applyFill="1" applyBorder="1" applyAlignment="1">
      <alignment horizontal="center" vertical="center" wrapText="1"/>
    </xf>
    <xf numFmtId="0" fontId="3" fillId="0" borderId="1" xfId="0" quotePrefix="1" applyFont="1" applyBorder="1" applyAlignment="1">
      <alignment horizontal="left" vertical="center" wrapText="1"/>
    </xf>
    <xf numFmtId="0" fontId="2" fillId="0" borderId="0" xfId="0" quotePrefix="1" applyFont="1"/>
    <xf numFmtId="11" fontId="10" fillId="4" borderId="1" xfId="0" applyNumberFormat="1" applyFont="1" applyFill="1" applyBorder="1" applyAlignment="1">
      <alignment horizontal="center" vertical="center"/>
    </xf>
    <xf numFmtId="0" fontId="10" fillId="4" borderId="1" xfId="0" applyFont="1" applyFill="1" applyBorder="1" applyAlignment="1">
      <alignment horizontal="left" vertical="center"/>
    </xf>
    <xf numFmtId="0" fontId="12" fillId="0" borderId="1" xfId="0" applyFont="1" applyBorder="1" applyAlignment="1">
      <alignment vertical="center" wrapText="1"/>
    </xf>
    <xf numFmtId="0" fontId="10" fillId="5" borderId="1" xfId="0" applyFont="1" applyFill="1" applyBorder="1" applyAlignment="1">
      <alignment horizontal="center" vertical="center"/>
    </xf>
    <xf numFmtId="0" fontId="10" fillId="4" borderId="1" xfId="0" applyFont="1" applyFill="1" applyBorder="1" applyAlignment="1">
      <alignment horizontal="center" vertical="center"/>
    </xf>
    <xf numFmtId="49" fontId="10" fillId="5" borderId="1" xfId="0" applyNumberFormat="1" applyFont="1" applyFill="1" applyBorder="1" applyAlignment="1">
      <alignment horizontal="left" vertical="center"/>
    </xf>
    <xf numFmtId="0" fontId="13" fillId="3" borderId="1" xfId="0" applyFont="1" applyFill="1" applyBorder="1" applyAlignment="1">
      <alignment horizontal="left" vertical="center"/>
    </xf>
    <xf numFmtId="0" fontId="12" fillId="0" borderId="1" xfId="0" applyFont="1" applyBorder="1" applyAlignment="1">
      <alignment vertical="center"/>
    </xf>
    <xf numFmtId="0" fontId="13" fillId="3" borderId="1" xfId="0" applyFont="1" applyFill="1" applyBorder="1" applyAlignment="1">
      <alignment horizontal="center" vertical="center"/>
    </xf>
    <xf numFmtId="0" fontId="14" fillId="3" borderId="1" xfId="0" applyFont="1" applyFill="1" applyBorder="1" applyAlignment="1">
      <alignment horizontal="center" vertical="center"/>
    </xf>
    <xf numFmtId="0" fontId="15" fillId="3" borderId="1" xfId="0" applyFont="1" applyFill="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left" vertical="top" wrapText="1"/>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xf>
    <xf numFmtId="0" fontId="14" fillId="4" borderId="1" xfId="0" applyFont="1" applyFill="1" applyBorder="1" applyAlignment="1">
      <alignment horizontal="left" vertical="center"/>
    </xf>
    <xf numFmtId="0" fontId="12" fillId="0" borderId="1" xfId="0" applyFont="1" applyBorder="1" applyAlignment="1">
      <alignment vertical="top"/>
    </xf>
    <xf numFmtId="0" fontId="12" fillId="0" borderId="1" xfId="0" applyFont="1" applyBorder="1" applyAlignment="1">
      <alignment vertical="top" wrapText="1"/>
    </xf>
    <xf numFmtId="0" fontId="3" fillId="4" borderId="1" xfId="0" applyFont="1" applyFill="1" applyBorder="1" applyAlignment="1">
      <alignment horizontal="left" vertical="top" wrapText="1"/>
    </xf>
    <xf numFmtId="0" fontId="6" fillId="4" borderId="1" xfId="0" applyFont="1" applyFill="1" applyBorder="1" applyAlignment="1">
      <alignment horizontal="left" vertical="center" wrapText="1"/>
    </xf>
    <xf numFmtId="0" fontId="6" fillId="4" borderId="1" xfId="0" applyFont="1" applyFill="1" applyBorder="1" applyAlignment="1">
      <alignment horizontal="left" vertical="top" wrapText="1"/>
    </xf>
    <xf numFmtId="0" fontId="2" fillId="0" borderId="0" xfId="0" applyFont="1" applyAlignment="1">
      <alignment vertical="top" wrapText="1"/>
    </xf>
    <xf numFmtId="0" fontId="16" fillId="0" borderId="0" xfId="0" applyFont="1" applyAlignment="1">
      <alignment wrapText="1"/>
    </xf>
    <xf numFmtId="0" fontId="16" fillId="7" borderId="1" xfId="0" applyFont="1" applyFill="1" applyBorder="1" applyAlignment="1">
      <alignment horizontal="left" vertical="center" wrapText="1"/>
    </xf>
    <xf numFmtId="0" fontId="16" fillId="0" borderId="1" xfId="0" applyFont="1" applyBorder="1" applyAlignment="1">
      <alignment horizontal="left" vertical="center" wrapText="1"/>
    </xf>
    <xf numFmtId="0" fontId="16" fillId="0" borderId="4" xfId="0" applyFont="1" applyBorder="1" applyAlignment="1">
      <alignment horizontal="left" vertical="center" wrapText="1"/>
    </xf>
    <xf numFmtId="0" fontId="3" fillId="7" borderId="1" xfId="0" applyFont="1" applyFill="1" applyBorder="1" applyAlignment="1">
      <alignment horizontal="center" vertical="center" wrapText="1"/>
    </xf>
    <xf numFmtId="0" fontId="12" fillId="0" borderId="1" xfId="0" applyFont="1" applyBorder="1" applyAlignment="1">
      <alignment horizontal="left" vertical="top" wrapText="1"/>
    </xf>
    <xf numFmtId="0" fontId="12" fillId="0" borderId="1" xfId="0" applyFont="1" applyBorder="1"/>
    <xf numFmtId="0" fontId="12" fillId="0" borderId="0" xfId="0" applyFont="1"/>
    <xf numFmtId="0" fontId="2" fillId="0" borderId="0" xfId="0" applyFont="1"/>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3" fillId="0" borderId="0" xfId="0" applyFont="1" applyAlignment="1">
      <alignment horizontal="center" vertical="center" wrapText="1"/>
    </xf>
    <xf numFmtId="0" fontId="3" fillId="0" borderId="1" xfId="0" quotePrefix="1" applyFont="1" applyBorder="1" applyAlignment="1">
      <alignment horizontal="center"/>
    </xf>
    <xf numFmtId="0" fontId="0" fillId="0" borderId="3" xfId="0" applyBorder="1"/>
    <xf numFmtId="0" fontId="3" fillId="0" borderId="0" xfId="0" applyFont="1" applyAlignment="1">
      <alignment horizontal="left" vertical="center"/>
    </xf>
    <xf numFmtId="0" fontId="2" fillId="0" borderId="0" xfId="0" applyFont="1"/>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0" fillId="0" borderId="2" xfId="0" applyBorder="1"/>
    <xf numFmtId="0" fontId="3" fillId="0" borderId="0" xfId="0" applyFont="1" applyAlignment="1">
      <alignment horizontal="center" vertical="center" wrapText="1"/>
    </xf>
  </cellXfs>
  <cellStyles count="2">
    <cellStyle name="Hyperlink" xfId="1" builtinId="8"/>
    <cellStyle name="Normal" xfId="0" builtinId="0"/>
  </cellStyles>
  <dxfs count="167">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patternType="solid">
          <bgColor rgb="FFFF0000"/>
        </patternFill>
      </fill>
    </dxf>
    <dxf>
      <font>
        <color theme="1"/>
      </font>
      <fill>
        <patternFill>
          <bgColor rgb="FFFF0000"/>
        </patternFill>
      </fill>
    </dxf>
    <dxf>
      <font>
        <color theme="1"/>
      </font>
      <fill>
        <patternFill>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
      <font>
        <color theme="1"/>
      </font>
      <fill>
        <patternFill patternType="solid">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102" Type="http://schemas.openxmlformats.org/officeDocument/2006/relationships/image" Target="../media/image102.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80" Type="http://schemas.openxmlformats.org/officeDocument/2006/relationships/image" Target="../media/image80.png"/><Relationship Id="rId85" Type="http://schemas.openxmlformats.org/officeDocument/2006/relationships/image" Target="../media/image85.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103" Type="http://schemas.openxmlformats.org/officeDocument/2006/relationships/image" Target="../media/image103.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104.png"/></Relationships>
</file>

<file path=xl/drawings/drawing1.xml><?xml version="1.0" encoding="utf-8"?>
<xdr:wsDr xmlns:xdr="http://schemas.openxmlformats.org/drawingml/2006/spreadsheetDrawing" xmlns:a="http://schemas.openxmlformats.org/drawingml/2006/main">
  <xdr:twoCellAnchor editAs="oneCell">
    <xdr:from>
      <xdr:col>3</xdr:col>
      <xdr:colOff>1924050</xdr:colOff>
      <xdr:row>24</xdr:row>
      <xdr:rowOff>266700</xdr:rowOff>
    </xdr:from>
    <xdr:to>
      <xdr:col>3</xdr:col>
      <xdr:colOff>2122539</xdr:colOff>
      <xdr:row>24</xdr:row>
      <xdr:rowOff>447675</xdr:rowOff>
    </xdr:to>
    <xdr:pic>
      <xdr:nvPicPr>
        <xdr:cNvPr id="2" name="Picture 1"/>
        <xdr:cNvPicPr>
          <a:picLocks noChangeAspect="1"/>
        </xdr:cNvPicPr>
      </xdr:nvPicPr>
      <xdr:blipFill>
        <a:blip xmlns:r="http://schemas.openxmlformats.org/officeDocument/2006/relationships" r:embed="rId1"/>
        <a:stretch>
          <a:fillRect/>
        </a:stretch>
      </xdr:blipFill>
      <xdr:spPr>
        <a:xfrm>
          <a:off x="6667500" y="238125"/>
          <a:ext cx="198120" cy="180975"/>
        </a:xfrm>
        <a:prstGeom prst="rect">
          <a:avLst/>
        </a:prstGeom>
        <a:ln>
          <a:prstDash val="solid"/>
        </a:ln>
      </xdr:spPr>
    </xdr:pic>
    <xdr:clientData/>
  </xdr:twoCellAnchor>
  <xdr:twoCellAnchor editAs="oneCell">
    <xdr:from>
      <xdr:col>3</xdr:col>
      <xdr:colOff>1943101</xdr:colOff>
      <xdr:row>26</xdr:row>
      <xdr:rowOff>238125</xdr:rowOff>
    </xdr:from>
    <xdr:to>
      <xdr:col>3</xdr:col>
      <xdr:colOff>2762251</xdr:colOff>
      <xdr:row>26</xdr:row>
      <xdr:rowOff>447990</xdr:rowOff>
    </xdr:to>
    <xdr:pic>
      <xdr:nvPicPr>
        <xdr:cNvPr id="7" name="Picture 6"/>
        <xdr:cNvPicPr>
          <a:picLocks noChangeAspect="1"/>
        </xdr:cNvPicPr>
      </xdr:nvPicPr>
      <xdr:blipFill>
        <a:blip xmlns:r="http://schemas.openxmlformats.org/officeDocument/2006/relationships" r:embed="rId2"/>
        <a:stretch>
          <a:fillRect/>
        </a:stretch>
      </xdr:blipFill>
      <xdr:spPr>
        <a:xfrm>
          <a:off x="6686550" y="238125"/>
          <a:ext cx="819150" cy="209550"/>
        </a:xfrm>
        <a:prstGeom prst="rect">
          <a:avLst/>
        </a:prstGeom>
        <a:ln>
          <a:prstDash val="solid"/>
        </a:ln>
      </xdr:spPr>
    </xdr:pic>
    <xdr:clientData/>
  </xdr:twoCellAnchor>
  <xdr:twoCellAnchor editAs="oneCell">
    <xdr:from>
      <xdr:col>3</xdr:col>
      <xdr:colOff>1866901</xdr:colOff>
      <xdr:row>28</xdr:row>
      <xdr:rowOff>257175</xdr:rowOff>
    </xdr:from>
    <xdr:to>
      <xdr:col>3</xdr:col>
      <xdr:colOff>2533651</xdr:colOff>
      <xdr:row>28</xdr:row>
      <xdr:rowOff>453278</xdr:rowOff>
    </xdr:to>
    <xdr:pic>
      <xdr:nvPicPr>
        <xdr:cNvPr id="12" name="Picture 11"/>
        <xdr:cNvPicPr>
          <a:picLocks noChangeAspect="1"/>
        </xdr:cNvPicPr>
      </xdr:nvPicPr>
      <xdr:blipFill>
        <a:blip xmlns:r="http://schemas.openxmlformats.org/officeDocument/2006/relationships" r:embed="rId3"/>
        <a:stretch>
          <a:fillRect/>
        </a:stretch>
      </xdr:blipFill>
      <xdr:spPr>
        <a:xfrm>
          <a:off x="6610350" y="238125"/>
          <a:ext cx="666750" cy="195580"/>
        </a:xfrm>
        <a:prstGeom prst="rect">
          <a:avLst/>
        </a:prstGeom>
        <a:ln>
          <a:prstDash val="solid"/>
        </a:ln>
      </xdr:spPr>
    </xdr:pic>
    <xdr:clientData/>
  </xdr:twoCellAnchor>
  <xdr:twoCellAnchor editAs="oneCell">
    <xdr:from>
      <xdr:col>3</xdr:col>
      <xdr:colOff>1847851</xdr:colOff>
      <xdr:row>27</xdr:row>
      <xdr:rowOff>257176</xdr:rowOff>
    </xdr:from>
    <xdr:to>
      <xdr:col>3</xdr:col>
      <xdr:colOff>2514600</xdr:colOff>
      <xdr:row>27</xdr:row>
      <xdr:rowOff>442017</xdr:rowOff>
    </xdr:to>
    <xdr:pic>
      <xdr:nvPicPr>
        <xdr:cNvPr id="14" name="Picture 13"/>
        <xdr:cNvPicPr>
          <a:picLocks noChangeAspect="1"/>
        </xdr:cNvPicPr>
      </xdr:nvPicPr>
      <xdr:blipFill>
        <a:blip xmlns:r="http://schemas.openxmlformats.org/officeDocument/2006/relationships" r:embed="rId4"/>
        <a:stretch>
          <a:fillRect/>
        </a:stretch>
      </xdr:blipFill>
      <xdr:spPr>
        <a:xfrm>
          <a:off x="6591300" y="238125"/>
          <a:ext cx="666750" cy="184785"/>
        </a:xfrm>
        <a:prstGeom prst="rect">
          <a:avLst/>
        </a:prstGeom>
        <a:ln>
          <a:prstDash val="solid"/>
        </a:ln>
      </xdr:spPr>
    </xdr:pic>
    <xdr:clientData/>
  </xdr:twoCellAnchor>
  <xdr:twoCellAnchor editAs="oneCell">
    <xdr:from>
      <xdr:col>3</xdr:col>
      <xdr:colOff>2431737</xdr:colOff>
      <xdr:row>25</xdr:row>
      <xdr:rowOff>65690</xdr:rowOff>
    </xdr:from>
    <xdr:to>
      <xdr:col>3</xdr:col>
      <xdr:colOff>3492500</xdr:colOff>
      <xdr:row>25</xdr:row>
      <xdr:rowOff>350671</xdr:rowOff>
    </xdr:to>
    <xdr:pic>
      <xdr:nvPicPr>
        <xdr:cNvPr id="215" name="Picture 214"/>
        <xdr:cNvPicPr>
          <a:picLocks noChangeAspect="1"/>
        </xdr:cNvPicPr>
      </xdr:nvPicPr>
      <xdr:blipFill>
        <a:blip xmlns:r="http://schemas.openxmlformats.org/officeDocument/2006/relationships" r:embed="rId5"/>
        <a:stretch>
          <a:fillRect/>
        </a:stretch>
      </xdr:blipFill>
      <xdr:spPr>
        <a:xfrm>
          <a:off x="7172340" y="9546897"/>
          <a:ext cx="1060763" cy="284981"/>
        </a:xfrm>
        <a:prstGeom prst="rect">
          <a:avLst/>
        </a:prstGeom>
        <a:ln>
          <a:prstDash val="solid"/>
        </a:ln>
      </xdr:spPr>
    </xdr:pic>
    <xdr:clientData/>
  </xdr:twoCellAnchor>
  <xdr:twoCellAnchor editAs="oneCell">
    <xdr:from>
      <xdr:col>1</xdr:col>
      <xdr:colOff>186121</xdr:colOff>
      <xdr:row>20</xdr:row>
      <xdr:rowOff>832069</xdr:rowOff>
    </xdr:from>
    <xdr:to>
      <xdr:col>1</xdr:col>
      <xdr:colOff>386121</xdr:colOff>
      <xdr:row>20</xdr:row>
      <xdr:rowOff>1041593</xdr:rowOff>
    </xdr:to>
    <xdr:pic>
      <xdr:nvPicPr>
        <xdr:cNvPr id="218" name="Picture 217"/>
        <xdr:cNvPicPr>
          <a:picLocks noChangeAspect="1"/>
        </xdr:cNvPicPr>
      </xdr:nvPicPr>
      <xdr:blipFill>
        <a:blip xmlns:r="http://schemas.openxmlformats.org/officeDocument/2006/relationships" r:embed="rId6"/>
        <a:stretch>
          <a:fillRect/>
        </a:stretch>
      </xdr:blipFill>
      <xdr:spPr>
        <a:xfrm>
          <a:off x="1204311" y="8145517"/>
          <a:ext cx="200000" cy="209524"/>
        </a:xfrm>
        <a:prstGeom prst="rect">
          <a:avLst/>
        </a:prstGeom>
        <a:ln>
          <a:prstDash val="solid"/>
        </a:ln>
      </xdr:spPr>
    </xdr:pic>
    <xdr:clientData/>
  </xdr:twoCellAnchor>
  <xdr:twoCellAnchor editAs="oneCell">
    <xdr:from>
      <xdr:col>1</xdr:col>
      <xdr:colOff>164224</xdr:colOff>
      <xdr:row>19</xdr:row>
      <xdr:rowOff>843017</xdr:rowOff>
    </xdr:from>
    <xdr:to>
      <xdr:col>1</xdr:col>
      <xdr:colOff>373748</xdr:colOff>
      <xdr:row>19</xdr:row>
      <xdr:rowOff>1023969</xdr:rowOff>
    </xdr:to>
    <xdr:pic>
      <xdr:nvPicPr>
        <xdr:cNvPr id="220" name="Picture 219"/>
        <xdr:cNvPicPr>
          <a:picLocks noChangeAspect="1"/>
        </xdr:cNvPicPr>
      </xdr:nvPicPr>
      <xdr:blipFill>
        <a:blip xmlns:r="http://schemas.openxmlformats.org/officeDocument/2006/relationships" r:embed="rId7"/>
        <a:stretch>
          <a:fillRect/>
        </a:stretch>
      </xdr:blipFill>
      <xdr:spPr>
        <a:xfrm>
          <a:off x="1182414" y="11583276"/>
          <a:ext cx="209524" cy="180952"/>
        </a:xfrm>
        <a:prstGeom prst="rect">
          <a:avLst/>
        </a:prstGeom>
        <a:ln>
          <a:prstDash val="solid"/>
        </a:ln>
      </xdr:spPr>
    </xdr:pic>
    <xdr:clientData/>
  </xdr:twoCellAnchor>
  <xdr:twoCellAnchor editAs="oneCell">
    <xdr:from>
      <xdr:col>1</xdr:col>
      <xdr:colOff>1696984</xdr:colOff>
      <xdr:row>39</xdr:row>
      <xdr:rowOff>109483</xdr:rowOff>
    </xdr:from>
    <xdr:to>
      <xdr:col>1</xdr:col>
      <xdr:colOff>1970690</xdr:colOff>
      <xdr:row>39</xdr:row>
      <xdr:rowOff>368394</xdr:rowOff>
    </xdr:to>
    <xdr:pic>
      <xdr:nvPicPr>
        <xdr:cNvPr id="3" name="Picture 2"/>
        <xdr:cNvPicPr>
          <a:picLocks noChangeAspect="1"/>
        </xdr:cNvPicPr>
      </xdr:nvPicPr>
      <xdr:blipFill>
        <a:blip xmlns:r="http://schemas.openxmlformats.org/officeDocument/2006/relationships" r:embed="rId8"/>
        <a:stretch>
          <a:fillRect/>
        </a:stretch>
      </xdr:blipFill>
      <xdr:spPr>
        <a:xfrm>
          <a:off x="2715174" y="20736035"/>
          <a:ext cx="273706" cy="258911"/>
        </a:xfrm>
        <a:prstGeom prst="rect">
          <a:avLst/>
        </a:prstGeom>
        <a:ln>
          <a:prstDash val="solid"/>
        </a:ln>
      </xdr:spPr>
    </xdr:pic>
    <xdr:clientData/>
  </xdr:twoCellAnchor>
  <xdr:twoCellAnchor editAs="oneCell">
    <xdr:from>
      <xdr:col>1</xdr:col>
      <xdr:colOff>1686033</xdr:colOff>
      <xdr:row>40</xdr:row>
      <xdr:rowOff>120431</xdr:rowOff>
    </xdr:from>
    <xdr:to>
      <xdr:col>1</xdr:col>
      <xdr:colOff>1959740</xdr:colOff>
      <xdr:row>40</xdr:row>
      <xdr:rowOff>379343</xdr:rowOff>
    </xdr:to>
    <xdr:pic>
      <xdr:nvPicPr>
        <xdr:cNvPr id="4" name="Picture 3"/>
        <xdr:cNvPicPr>
          <a:picLocks noChangeAspect="1"/>
        </xdr:cNvPicPr>
      </xdr:nvPicPr>
      <xdr:blipFill>
        <a:blip xmlns:r="http://schemas.openxmlformats.org/officeDocument/2006/relationships" r:embed="rId9"/>
        <a:stretch>
          <a:fillRect/>
        </a:stretch>
      </xdr:blipFill>
      <xdr:spPr>
        <a:xfrm>
          <a:off x="2704223" y="21228707"/>
          <a:ext cx="273707" cy="258912"/>
        </a:xfrm>
        <a:prstGeom prst="rect">
          <a:avLst/>
        </a:prstGeom>
        <a:ln>
          <a:prstDash val="solid"/>
        </a:ln>
      </xdr:spPr>
    </xdr:pic>
    <xdr:clientData/>
  </xdr:twoCellAnchor>
  <xdr:twoCellAnchor editAs="oneCell">
    <xdr:from>
      <xdr:col>1</xdr:col>
      <xdr:colOff>1664137</xdr:colOff>
      <xdr:row>41</xdr:row>
      <xdr:rowOff>109482</xdr:rowOff>
    </xdr:from>
    <xdr:to>
      <xdr:col>1</xdr:col>
      <xdr:colOff>1997470</xdr:colOff>
      <xdr:row>41</xdr:row>
      <xdr:rowOff>423768</xdr:rowOff>
    </xdr:to>
    <xdr:pic>
      <xdr:nvPicPr>
        <xdr:cNvPr id="5" name="Picture 4"/>
        <xdr:cNvPicPr>
          <a:picLocks noChangeAspect="1"/>
        </xdr:cNvPicPr>
      </xdr:nvPicPr>
      <xdr:blipFill>
        <a:blip xmlns:r="http://schemas.openxmlformats.org/officeDocument/2006/relationships" r:embed="rId10"/>
        <a:stretch>
          <a:fillRect/>
        </a:stretch>
      </xdr:blipFill>
      <xdr:spPr>
        <a:xfrm>
          <a:off x="2682327" y="21699482"/>
          <a:ext cx="333333" cy="314286"/>
        </a:xfrm>
        <a:prstGeom prst="rect">
          <a:avLst/>
        </a:prstGeom>
        <a:ln>
          <a:prstDash val="solid"/>
        </a:ln>
      </xdr:spPr>
    </xdr:pic>
    <xdr:clientData/>
  </xdr:twoCellAnchor>
  <xdr:twoCellAnchor editAs="oneCell">
    <xdr:from>
      <xdr:col>1</xdr:col>
      <xdr:colOff>1313794</xdr:colOff>
      <xdr:row>44</xdr:row>
      <xdr:rowOff>503621</xdr:rowOff>
    </xdr:from>
    <xdr:to>
      <xdr:col>1</xdr:col>
      <xdr:colOff>1647127</xdr:colOff>
      <xdr:row>44</xdr:row>
      <xdr:rowOff>836954</xdr:rowOff>
    </xdr:to>
    <xdr:pic>
      <xdr:nvPicPr>
        <xdr:cNvPr id="6" name="Picture 5"/>
        <xdr:cNvPicPr>
          <a:picLocks noChangeAspect="1"/>
        </xdr:cNvPicPr>
      </xdr:nvPicPr>
      <xdr:blipFill>
        <a:blip xmlns:r="http://schemas.openxmlformats.org/officeDocument/2006/relationships" r:embed="rId11"/>
        <a:stretch>
          <a:fillRect/>
        </a:stretch>
      </xdr:blipFill>
      <xdr:spPr>
        <a:xfrm>
          <a:off x="2331984" y="23527845"/>
          <a:ext cx="333333" cy="333333"/>
        </a:xfrm>
        <a:prstGeom prst="rect">
          <a:avLst/>
        </a:prstGeom>
        <a:ln>
          <a:prstDash val="solid"/>
        </a:ln>
      </xdr:spPr>
    </xdr:pic>
    <xdr:clientData/>
  </xdr:twoCellAnchor>
  <xdr:twoCellAnchor editAs="oneCell">
    <xdr:from>
      <xdr:col>1</xdr:col>
      <xdr:colOff>1839311</xdr:colOff>
      <xdr:row>48</xdr:row>
      <xdr:rowOff>120432</xdr:rowOff>
    </xdr:from>
    <xdr:to>
      <xdr:col>1</xdr:col>
      <xdr:colOff>2125025</xdr:colOff>
      <xdr:row>48</xdr:row>
      <xdr:rowOff>406146</xdr:rowOff>
    </xdr:to>
    <xdr:pic>
      <xdr:nvPicPr>
        <xdr:cNvPr id="9" name="Picture 8"/>
        <xdr:cNvPicPr>
          <a:picLocks noChangeAspect="1"/>
        </xdr:cNvPicPr>
      </xdr:nvPicPr>
      <xdr:blipFill>
        <a:blip xmlns:r="http://schemas.openxmlformats.org/officeDocument/2006/relationships" r:embed="rId12"/>
        <a:stretch>
          <a:fillRect/>
        </a:stretch>
      </xdr:blipFill>
      <xdr:spPr>
        <a:xfrm>
          <a:off x="2857501" y="26954656"/>
          <a:ext cx="285714" cy="285714"/>
        </a:xfrm>
        <a:prstGeom prst="rect">
          <a:avLst/>
        </a:prstGeom>
        <a:ln>
          <a:prstDash val="solid"/>
        </a:ln>
      </xdr:spPr>
    </xdr:pic>
    <xdr:clientData/>
  </xdr:twoCellAnchor>
  <xdr:twoCellAnchor editAs="oneCell">
    <xdr:from>
      <xdr:col>1</xdr:col>
      <xdr:colOff>1883104</xdr:colOff>
      <xdr:row>52</xdr:row>
      <xdr:rowOff>229913</xdr:rowOff>
    </xdr:from>
    <xdr:to>
      <xdr:col>1</xdr:col>
      <xdr:colOff>2133010</xdr:colOff>
      <xdr:row>52</xdr:row>
      <xdr:rowOff>503620</xdr:rowOff>
    </xdr:to>
    <xdr:pic>
      <xdr:nvPicPr>
        <xdr:cNvPr id="188" name="Picture 187"/>
        <xdr:cNvPicPr>
          <a:picLocks noChangeAspect="1"/>
        </xdr:cNvPicPr>
      </xdr:nvPicPr>
      <xdr:blipFill>
        <a:blip xmlns:r="http://schemas.openxmlformats.org/officeDocument/2006/relationships" r:embed="rId13"/>
        <a:stretch>
          <a:fillRect/>
        </a:stretch>
      </xdr:blipFill>
      <xdr:spPr>
        <a:xfrm>
          <a:off x="2901294" y="32111292"/>
          <a:ext cx="249906" cy="273707"/>
        </a:xfrm>
        <a:prstGeom prst="rect">
          <a:avLst/>
        </a:prstGeom>
        <a:ln>
          <a:prstDash val="solid"/>
        </a:ln>
      </xdr:spPr>
    </xdr:pic>
    <xdr:clientData/>
  </xdr:twoCellAnchor>
  <xdr:twoCellAnchor editAs="oneCell">
    <xdr:from>
      <xdr:col>1</xdr:col>
      <xdr:colOff>1905001</xdr:colOff>
      <xdr:row>53</xdr:row>
      <xdr:rowOff>131380</xdr:rowOff>
    </xdr:from>
    <xdr:to>
      <xdr:col>1</xdr:col>
      <xdr:colOff>2080173</xdr:colOff>
      <xdr:row>53</xdr:row>
      <xdr:rowOff>317501</xdr:rowOff>
    </xdr:to>
    <xdr:pic>
      <xdr:nvPicPr>
        <xdr:cNvPr id="191" name="Picture 190"/>
        <xdr:cNvPicPr>
          <a:picLocks noChangeAspect="1"/>
        </xdr:cNvPicPr>
      </xdr:nvPicPr>
      <xdr:blipFill>
        <a:blip xmlns:r="http://schemas.openxmlformats.org/officeDocument/2006/relationships" r:embed="rId14"/>
        <a:stretch>
          <a:fillRect/>
        </a:stretch>
      </xdr:blipFill>
      <xdr:spPr>
        <a:xfrm>
          <a:off x="2923191" y="32516380"/>
          <a:ext cx="175172" cy="186121"/>
        </a:xfrm>
        <a:prstGeom prst="rect">
          <a:avLst/>
        </a:prstGeom>
        <a:ln>
          <a:prstDash val="solid"/>
        </a:ln>
      </xdr:spPr>
    </xdr:pic>
    <xdr:clientData/>
  </xdr:twoCellAnchor>
  <xdr:twoCellAnchor editAs="oneCell">
    <xdr:from>
      <xdr:col>1</xdr:col>
      <xdr:colOff>1883103</xdr:colOff>
      <xdr:row>54</xdr:row>
      <xdr:rowOff>273708</xdr:rowOff>
    </xdr:from>
    <xdr:to>
      <xdr:col>1</xdr:col>
      <xdr:colOff>2058275</xdr:colOff>
      <xdr:row>54</xdr:row>
      <xdr:rowOff>459829</xdr:rowOff>
    </xdr:to>
    <xdr:pic>
      <xdr:nvPicPr>
        <xdr:cNvPr id="207" name="Picture 206"/>
        <xdr:cNvPicPr>
          <a:picLocks noChangeAspect="1"/>
        </xdr:cNvPicPr>
      </xdr:nvPicPr>
      <xdr:blipFill>
        <a:blip xmlns:r="http://schemas.openxmlformats.org/officeDocument/2006/relationships" r:embed="rId14"/>
        <a:stretch>
          <a:fillRect/>
        </a:stretch>
      </xdr:blipFill>
      <xdr:spPr>
        <a:xfrm>
          <a:off x="2901293" y="33151380"/>
          <a:ext cx="175172" cy="186121"/>
        </a:xfrm>
        <a:prstGeom prst="rect">
          <a:avLst/>
        </a:prstGeom>
        <a:ln>
          <a:prstDash val="solid"/>
        </a:ln>
      </xdr:spPr>
    </xdr:pic>
    <xdr:clientData/>
  </xdr:twoCellAnchor>
  <xdr:twoCellAnchor editAs="oneCell">
    <xdr:from>
      <xdr:col>1</xdr:col>
      <xdr:colOff>1510861</xdr:colOff>
      <xdr:row>55</xdr:row>
      <xdr:rowOff>76638</xdr:rowOff>
    </xdr:from>
    <xdr:to>
      <xdr:col>1</xdr:col>
      <xdr:colOff>2101337</xdr:colOff>
      <xdr:row>55</xdr:row>
      <xdr:rowOff>448067</xdr:rowOff>
    </xdr:to>
    <xdr:pic>
      <xdr:nvPicPr>
        <xdr:cNvPr id="192" name="Picture 191"/>
        <xdr:cNvPicPr>
          <a:picLocks noChangeAspect="1"/>
        </xdr:cNvPicPr>
      </xdr:nvPicPr>
      <xdr:blipFill>
        <a:blip xmlns:r="http://schemas.openxmlformats.org/officeDocument/2006/relationships" r:embed="rId15"/>
        <a:stretch>
          <a:fillRect/>
        </a:stretch>
      </xdr:blipFill>
      <xdr:spPr>
        <a:xfrm>
          <a:off x="2529051" y="33446983"/>
          <a:ext cx="590476" cy="371429"/>
        </a:xfrm>
        <a:prstGeom prst="rect">
          <a:avLst/>
        </a:prstGeom>
        <a:ln>
          <a:prstDash val="solid"/>
        </a:ln>
      </xdr:spPr>
    </xdr:pic>
    <xdr:clientData/>
  </xdr:twoCellAnchor>
  <xdr:twoCellAnchor editAs="oneCell">
    <xdr:from>
      <xdr:col>1</xdr:col>
      <xdr:colOff>1445173</xdr:colOff>
      <xdr:row>56</xdr:row>
      <xdr:rowOff>65689</xdr:rowOff>
    </xdr:from>
    <xdr:to>
      <xdr:col>1</xdr:col>
      <xdr:colOff>2111840</xdr:colOff>
      <xdr:row>56</xdr:row>
      <xdr:rowOff>446641</xdr:rowOff>
    </xdr:to>
    <xdr:pic>
      <xdr:nvPicPr>
        <xdr:cNvPr id="194" name="Picture 193"/>
        <xdr:cNvPicPr>
          <a:picLocks noChangeAspect="1"/>
        </xdr:cNvPicPr>
      </xdr:nvPicPr>
      <xdr:blipFill>
        <a:blip xmlns:r="http://schemas.openxmlformats.org/officeDocument/2006/relationships" r:embed="rId16"/>
        <a:stretch>
          <a:fillRect/>
        </a:stretch>
      </xdr:blipFill>
      <xdr:spPr>
        <a:xfrm>
          <a:off x="2463363" y="33928706"/>
          <a:ext cx="666667" cy="380952"/>
        </a:xfrm>
        <a:prstGeom prst="rect">
          <a:avLst/>
        </a:prstGeom>
        <a:ln>
          <a:prstDash val="solid"/>
        </a:ln>
      </xdr:spPr>
    </xdr:pic>
    <xdr:clientData/>
  </xdr:twoCellAnchor>
  <xdr:twoCellAnchor editAs="oneCell">
    <xdr:from>
      <xdr:col>1</xdr:col>
      <xdr:colOff>1894051</xdr:colOff>
      <xdr:row>59</xdr:row>
      <xdr:rowOff>240862</xdr:rowOff>
    </xdr:from>
    <xdr:to>
      <xdr:col>1</xdr:col>
      <xdr:colOff>2179765</xdr:colOff>
      <xdr:row>59</xdr:row>
      <xdr:rowOff>498005</xdr:rowOff>
    </xdr:to>
    <xdr:pic>
      <xdr:nvPicPr>
        <xdr:cNvPr id="196" name="Picture 195"/>
        <xdr:cNvPicPr>
          <a:picLocks noChangeAspect="1"/>
        </xdr:cNvPicPr>
      </xdr:nvPicPr>
      <xdr:blipFill>
        <a:blip xmlns:r="http://schemas.openxmlformats.org/officeDocument/2006/relationships" r:embed="rId17"/>
        <a:stretch>
          <a:fillRect/>
        </a:stretch>
      </xdr:blipFill>
      <xdr:spPr>
        <a:xfrm>
          <a:off x="2912241" y="36162155"/>
          <a:ext cx="285714" cy="257143"/>
        </a:xfrm>
        <a:prstGeom prst="rect">
          <a:avLst/>
        </a:prstGeom>
        <a:ln>
          <a:prstDash val="solid"/>
        </a:ln>
      </xdr:spPr>
    </xdr:pic>
    <xdr:clientData/>
  </xdr:twoCellAnchor>
  <xdr:twoCellAnchor editAs="oneCell">
    <xdr:from>
      <xdr:col>1</xdr:col>
      <xdr:colOff>1357587</xdr:colOff>
      <xdr:row>67</xdr:row>
      <xdr:rowOff>405086</xdr:rowOff>
    </xdr:from>
    <xdr:to>
      <xdr:col>1</xdr:col>
      <xdr:colOff>1567111</xdr:colOff>
      <xdr:row>67</xdr:row>
      <xdr:rowOff>614610</xdr:rowOff>
    </xdr:to>
    <xdr:pic>
      <xdr:nvPicPr>
        <xdr:cNvPr id="197" name="Picture 196"/>
        <xdr:cNvPicPr>
          <a:picLocks noChangeAspect="1"/>
        </xdr:cNvPicPr>
      </xdr:nvPicPr>
      <xdr:blipFill>
        <a:blip xmlns:r="http://schemas.openxmlformats.org/officeDocument/2006/relationships" r:embed="rId18"/>
        <a:stretch>
          <a:fillRect/>
        </a:stretch>
      </xdr:blipFill>
      <xdr:spPr>
        <a:xfrm>
          <a:off x="2375777" y="37651120"/>
          <a:ext cx="209524" cy="209524"/>
        </a:xfrm>
        <a:prstGeom prst="rect">
          <a:avLst/>
        </a:prstGeom>
        <a:ln>
          <a:prstDash val="solid"/>
        </a:ln>
      </xdr:spPr>
    </xdr:pic>
    <xdr:clientData/>
  </xdr:twoCellAnchor>
  <xdr:twoCellAnchor editAs="oneCell">
    <xdr:from>
      <xdr:col>1</xdr:col>
      <xdr:colOff>1324742</xdr:colOff>
      <xdr:row>68</xdr:row>
      <xdr:rowOff>284655</xdr:rowOff>
    </xdr:from>
    <xdr:to>
      <xdr:col>1</xdr:col>
      <xdr:colOff>1553313</xdr:colOff>
      <xdr:row>68</xdr:row>
      <xdr:rowOff>513226</xdr:rowOff>
    </xdr:to>
    <xdr:pic>
      <xdr:nvPicPr>
        <xdr:cNvPr id="198" name="Picture 197"/>
        <xdr:cNvPicPr>
          <a:picLocks noChangeAspect="1"/>
        </xdr:cNvPicPr>
      </xdr:nvPicPr>
      <xdr:blipFill>
        <a:blip xmlns:r="http://schemas.openxmlformats.org/officeDocument/2006/relationships" r:embed="rId19"/>
        <a:stretch>
          <a:fillRect/>
        </a:stretch>
      </xdr:blipFill>
      <xdr:spPr>
        <a:xfrm>
          <a:off x="2342932" y="38516034"/>
          <a:ext cx="228571" cy="228571"/>
        </a:xfrm>
        <a:prstGeom prst="rect">
          <a:avLst/>
        </a:prstGeom>
        <a:ln>
          <a:prstDash val="solid"/>
        </a:ln>
      </xdr:spPr>
    </xdr:pic>
    <xdr:clientData/>
  </xdr:twoCellAnchor>
  <xdr:twoCellAnchor editAs="oneCell">
    <xdr:from>
      <xdr:col>1</xdr:col>
      <xdr:colOff>1215258</xdr:colOff>
      <xdr:row>60</xdr:row>
      <xdr:rowOff>95468</xdr:rowOff>
    </xdr:from>
    <xdr:to>
      <xdr:col>1</xdr:col>
      <xdr:colOff>2253353</xdr:colOff>
      <xdr:row>60</xdr:row>
      <xdr:rowOff>409754</xdr:rowOff>
    </xdr:to>
    <xdr:pic>
      <xdr:nvPicPr>
        <xdr:cNvPr id="199" name="Picture 198"/>
        <xdr:cNvPicPr>
          <a:picLocks noChangeAspect="1"/>
        </xdr:cNvPicPr>
      </xdr:nvPicPr>
      <xdr:blipFill>
        <a:blip xmlns:r="http://schemas.openxmlformats.org/officeDocument/2006/relationships" r:embed="rId20"/>
        <a:stretch>
          <a:fillRect/>
        </a:stretch>
      </xdr:blipFill>
      <xdr:spPr>
        <a:xfrm>
          <a:off x="2233448" y="32765123"/>
          <a:ext cx="1038095" cy="314286"/>
        </a:xfrm>
        <a:prstGeom prst="rect">
          <a:avLst/>
        </a:prstGeom>
        <a:ln>
          <a:prstDash val="solid"/>
        </a:ln>
      </xdr:spPr>
    </xdr:pic>
    <xdr:clientData/>
  </xdr:twoCellAnchor>
  <xdr:twoCellAnchor editAs="oneCell">
    <xdr:from>
      <xdr:col>1</xdr:col>
      <xdr:colOff>1083879</xdr:colOff>
      <xdr:row>64</xdr:row>
      <xdr:rowOff>271736</xdr:rowOff>
    </xdr:from>
    <xdr:to>
      <xdr:col>1</xdr:col>
      <xdr:colOff>1264831</xdr:colOff>
      <xdr:row>64</xdr:row>
      <xdr:rowOff>452688</xdr:rowOff>
    </xdr:to>
    <xdr:pic>
      <xdr:nvPicPr>
        <xdr:cNvPr id="195" name="Picture 194"/>
        <xdr:cNvPicPr>
          <a:picLocks noChangeAspect="1"/>
        </xdr:cNvPicPr>
      </xdr:nvPicPr>
      <xdr:blipFill>
        <a:blip xmlns:r="http://schemas.openxmlformats.org/officeDocument/2006/relationships" r:embed="rId21"/>
        <a:stretch>
          <a:fillRect/>
        </a:stretch>
      </xdr:blipFill>
      <xdr:spPr>
        <a:xfrm>
          <a:off x="2102069" y="38754926"/>
          <a:ext cx="180952" cy="180952"/>
        </a:xfrm>
        <a:prstGeom prst="rect">
          <a:avLst/>
        </a:prstGeom>
        <a:ln>
          <a:prstDash val="solid"/>
        </a:ln>
      </xdr:spPr>
    </xdr:pic>
    <xdr:clientData/>
  </xdr:twoCellAnchor>
  <xdr:twoCellAnchor editAs="oneCell">
    <xdr:from>
      <xdr:col>1</xdr:col>
      <xdr:colOff>722586</xdr:colOff>
      <xdr:row>65</xdr:row>
      <xdr:rowOff>282685</xdr:rowOff>
    </xdr:from>
    <xdr:to>
      <xdr:col>1</xdr:col>
      <xdr:colOff>903538</xdr:colOff>
      <xdr:row>65</xdr:row>
      <xdr:rowOff>463637</xdr:rowOff>
    </xdr:to>
    <xdr:pic>
      <xdr:nvPicPr>
        <xdr:cNvPr id="216" name="Picture 215"/>
        <xdr:cNvPicPr>
          <a:picLocks noChangeAspect="1"/>
        </xdr:cNvPicPr>
      </xdr:nvPicPr>
      <xdr:blipFill>
        <a:blip xmlns:r="http://schemas.openxmlformats.org/officeDocument/2006/relationships" r:embed="rId21"/>
        <a:stretch>
          <a:fillRect/>
        </a:stretch>
      </xdr:blipFill>
      <xdr:spPr>
        <a:xfrm>
          <a:off x="1740776" y="39280444"/>
          <a:ext cx="180952" cy="180952"/>
        </a:xfrm>
        <a:prstGeom prst="rect">
          <a:avLst/>
        </a:prstGeom>
        <a:ln>
          <a:prstDash val="solid"/>
        </a:ln>
      </xdr:spPr>
    </xdr:pic>
    <xdr:clientData/>
  </xdr:twoCellAnchor>
  <xdr:twoCellAnchor editAs="oneCell">
    <xdr:from>
      <xdr:col>1</xdr:col>
      <xdr:colOff>1828362</xdr:colOff>
      <xdr:row>71</xdr:row>
      <xdr:rowOff>175172</xdr:rowOff>
    </xdr:from>
    <xdr:to>
      <xdr:col>1</xdr:col>
      <xdr:colOff>2152172</xdr:colOff>
      <xdr:row>71</xdr:row>
      <xdr:rowOff>498982</xdr:rowOff>
    </xdr:to>
    <xdr:pic>
      <xdr:nvPicPr>
        <xdr:cNvPr id="200" name="Picture 199"/>
        <xdr:cNvPicPr>
          <a:picLocks noChangeAspect="1"/>
        </xdr:cNvPicPr>
      </xdr:nvPicPr>
      <xdr:blipFill>
        <a:blip xmlns:r="http://schemas.openxmlformats.org/officeDocument/2006/relationships" r:embed="rId22"/>
        <a:stretch>
          <a:fillRect/>
        </a:stretch>
      </xdr:blipFill>
      <xdr:spPr>
        <a:xfrm>
          <a:off x="2846552" y="39643706"/>
          <a:ext cx="323810" cy="323810"/>
        </a:xfrm>
        <a:prstGeom prst="rect">
          <a:avLst/>
        </a:prstGeom>
        <a:ln>
          <a:prstDash val="solid"/>
        </a:ln>
      </xdr:spPr>
    </xdr:pic>
    <xdr:clientData/>
  </xdr:twoCellAnchor>
  <xdr:twoCellAnchor editAs="oneCell">
    <xdr:from>
      <xdr:col>1</xdr:col>
      <xdr:colOff>1817413</xdr:colOff>
      <xdr:row>74</xdr:row>
      <xdr:rowOff>208017</xdr:rowOff>
    </xdr:from>
    <xdr:to>
      <xdr:col>1</xdr:col>
      <xdr:colOff>2141223</xdr:colOff>
      <xdr:row>74</xdr:row>
      <xdr:rowOff>512779</xdr:rowOff>
    </xdr:to>
    <xdr:pic>
      <xdr:nvPicPr>
        <xdr:cNvPr id="201" name="Picture 200"/>
        <xdr:cNvPicPr>
          <a:picLocks noChangeAspect="1"/>
        </xdr:cNvPicPr>
      </xdr:nvPicPr>
      <xdr:blipFill>
        <a:blip xmlns:r="http://schemas.openxmlformats.org/officeDocument/2006/relationships" r:embed="rId23"/>
        <a:stretch>
          <a:fillRect/>
        </a:stretch>
      </xdr:blipFill>
      <xdr:spPr>
        <a:xfrm>
          <a:off x="2835603" y="40869914"/>
          <a:ext cx="323810" cy="304762"/>
        </a:xfrm>
        <a:prstGeom prst="rect">
          <a:avLst/>
        </a:prstGeom>
        <a:ln>
          <a:prstDash val="solid"/>
        </a:ln>
      </xdr:spPr>
    </xdr:pic>
    <xdr:clientData/>
  </xdr:twoCellAnchor>
  <xdr:twoCellAnchor editAs="oneCell">
    <xdr:from>
      <xdr:col>1</xdr:col>
      <xdr:colOff>1051033</xdr:colOff>
      <xdr:row>82</xdr:row>
      <xdr:rowOff>131380</xdr:rowOff>
    </xdr:from>
    <xdr:to>
      <xdr:col>1</xdr:col>
      <xdr:colOff>1320932</xdr:colOff>
      <xdr:row>82</xdr:row>
      <xdr:rowOff>426984</xdr:rowOff>
    </xdr:to>
    <xdr:pic>
      <xdr:nvPicPr>
        <xdr:cNvPr id="202" name="Picture 201"/>
        <xdr:cNvPicPr>
          <a:picLocks noChangeAspect="1"/>
        </xdr:cNvPicPr>
      </xdr:nvPicPr>
      <xdr:blipFill>
        <a:blip xmlns:r="http://schemas.openxmlformats.org/officeDocument/2006/relationships" r:embed="rId24"/>
        <a:stretch>
          <a:fillRect/>
        </a:stretch>
      </xdr:blipFill>
      <xdr:spPr>
        <a:xfrm>
          <a:off x="2069223" y="44800346"/>
          <a:ext cx="269899" cy="295604"/>
        </a:xfrm>
        <a:prstGeom prst="rect">
          <a:avLst/>
        </a:prstGeom>
        <a:ln>
          <a:prstDash val="solid"/>
        </a:ln>
      </xdr:spPr>
    </xdr:pic>
    <xdr:clientData/>
  </xdr:twoCellAnchor>
  <xdr:twoCellAnchor editAs="oneCell">
    <xdr:from>
      <xdr:col>1</xdr:col>
      <xdr:colOff>1806465</xdr:colOff>
      <xdr:row>77</xdr:row>
      <xdr:rowOff>218965</xdr:rowOff>
    </xdr:from>
    <xdr:to>
      <xdr:col>1</xdr:col>
      <xdr:colOff>2101703</xdr:colOff>
      <xdr:row>77</xdr:row>
      <xdr:rowOff>495155</xdr:rowOff>
    </xdr:to>
    <xdr:pic>
      <xdr:nvPicPr>
        <xdr:cNvPr id="203" name="Picture 202"/>
        <xdr:cNvPicPr>
          <a:picLocks noChangeAspect="1"/>
        </xdr:cNvPicPr>
      </xdr:nvPicPr>
      <xdr:blipFill>
        <a:blip xmlns:r="http://schemas.openxmlformats.org/officeDocument/2006/relationships" r:embed="rId25"/>
        <a:stretch>
          <a:fillRect/>
        </a:stretch>
      </xdr:blipFill>
      <xdr:spPr>
        <a:xfrm>
          <a:off x="2824655" y="42074224"/>
          <a:ext cx="295238" cy="276190"/>
        </a:xfrm>
        <a:prstGeom prst="rect">
          <a:avLst/>
        </a:prstGeom>
        <a:ln>
          <a:prstDash val="solid"/>
        </a:ln>
      </xdr:spPr>
    </xdr:pic>
    <xdr:clientData/>
  </xdr:twoCellAnchor>
  <xdr:twoCellAnchor editAs="oneCell">
    <xdr:from>
      <xdr:col>1</xdr:col>
      <xdr:colOff>1182414</xdr:colOff>
      <xdr:row>89</xdr:row>
      <xdr:rowOff>258927</xdr:rowOff>
    </xdr:from>
    <xdr:to>
      <xdr:col>1</xdr:col>
      <xdr:colOff>1972890</xdr:colOff>
      <xdr:row>89</xdr:row>
      <xdr:rowOff>563689</xdr:rowOff>
    </xdr:to>
    <xdr:pic>
      <xdr:nvPicPr>
        <xdr:cNvPr id="204" name="Picture 203"/>
        <xdr:cNvPicPr>
          <a:picLocks noChangeAspect="1"/>
        </xdr:cNvPicPr>
      </xdr:nvPicPr>
      <xdr:blipFill>
        <a:blip xmlns:r="http://schemas.openxmlformats.org/officeDocument/2006/relationships" r:embed="rId26"/>
        <a:stretch>
          <a:fillRect/>
        </a:stretch>
      </xdr:blipFill>
      <xdr:spPr>
        <a:xfrm>
          <a:off x="2200604" y="46887634"/>
          <a:ext cx="790476" cy="304762"/>
        </a:xfrm>
        <a:prstGeom prst="rect">
          <a:avLst/>
        </a:prstGeom>
        <a:ln>
          <a:prstDash val="solid"/>
        </a:ln>
      </xdr:spPr>
    </xdr:pic>
    <xdr:clientData/>
  </xdr:twoCellAnchor>
  <xdr:twoCellAnchor editAs="oneCell">
    <xdr:from>
      <xdr:col>1</xdr:col>
      <xdr:colOff>1609396</xdr:colOff>
      <xdr:row>88</xdr:row>
      <xdr:rowOff>197069</xdr:rowOff>
    </xdr:from>
    <xdr:to>
      <xdr:col>1</xdr:col>
      <xdr:colOff>1923682</xdr:colOff>
      <xdr:row>88</xdr:row>
      <xdr:rowOff>520879</xdr:rowOff>
    </xdr:to>
    <xdr:pic>
      <xdr:nvPicPr>
        <xdr:cNvPr id="205" name="Picture 204"/>
        <xdr:cNvPicPr>
          <a:picLocks noChangeAspect="1"/>
        </xdr:cNvPicPr>
      </xdr:nvPicPr>
      <xdr:blipFill>
        <a:blip xmlns:r="http://schemas.openxmlformats.org/officeDocument/2006/relationships" r:embed="rId27"/>
        <a:stretch>
          <a:fillRect/>
        </a:stretch>
      </xdr:blipFill>
      <xdr:spPr>
        <a:xfrm>
          <a:off x="2627586" y="46814828"/>
          <a:ext cx="314286" cy="323810"/>
        </a:xfrm>
        <a:prstGeom prst="rect">
          <a:avLst/>
        </a:prstGeom>
        <a:ln>
          <a:prstDash val="solid"/>
        </a:ln>
      </xdr:spPr>
    </xdr:pic>
    <xdr:clientData/>
  </xdr:twoCellAnchor>
  <xdr:twoCellAnchor editAs="oneCell">
    <xdr:from>
      <xdr:col>1</xdr:col>
      <xdr:colOff>1521810</xdr:colOff>
      <xdr:row>92</xdr:row>
      <xdr:rowOff>240862</xdr:rowOff>
    </xdr:from>
    <xdr:to>
      <xdr:col>1</xdr:col>
      <xdr:colOff>1826572</xdr:colOff>
      <xdr:row>92</xdr:row>
      <xdr:rowOff>526576</xdr:rowOff>
    </xdr:to>
    <xdr:pic>
      <xdr:nvPicPr>
        <xdr:cNvPr id="208" name="Picture 207"/>
        <xdr:cNvPicPr>
          <a:picLocks noChangeAspect="1"/>
        </xdr:cNvPicPr>
      </xdr:nvPicPr>
      <xdr:blipFill>
        <a:blip xmlns:r="http://schemas.openxmlformats.org/officeDocument/2006/relationships" r:embed="rId28"/>
        <a:stretch>
          <a:fillRect/>
        </a:stretch>
      </xdr:blipFill>
      <xdr:spPr>
        <a:xfrm>
          <a:off x="2540000" y="48369483"/>
          <a:ext cx="304762" cy="285714"/>
        </a:xfrm>
        <a:prstGeom prst="rect">
          <a:avLst/>
        </a:prstGeom>
        <a:ln>
          <a:prstDash val="solid"/>
        </a:ln>
      </xdr:spPr>
    </xdr:pic>
    <xdr:clientData/>
  </xdr:twoCellAnchor>
  <xdr:twoCellAnchor editAs="oneCell">
    <xdr:from>
      <xdr:col>1</xdr:col>
      <xdr:colOff>1237155</xdr:colOff>
      <xdr:row>94</xdr:row>
      <xdr:rowOff>98535</xdr:rowOff>
    </xdr:from>
    <xdr:to>
      <xdr:col>1</xdr:col>
      <xdr:colOff>2160965</xdr:colOff>
      <xdr:row>94</xdr:row>
      <xdr:rowOff>393773</xdr:rowOff>
    </xdr:to>
    <xdr:pic>
      <xdr:nvPicPr>
        <xdr:cNvPr id="210" name="Picture 209"/>
        <xdr:cNvPicPr>
          <a:picLocks noChangeAspect="1"/>
        </xdr:cNvPicPr>
      </xdr:nvPicPr>
      <xdr:blipFill>
        <a:blip xmlns:r="http://schemas.openxmlformats.org/officeDocument/2006/relationships" r:embed="rId29"/>
        <a:stretch>
          <a:fillRect/>
        </a:stretch>
      </xdr:blipFill>
      <xdr:spPr>
        <a:xfrm>
          <a:off x="2255345" y="49946035"/>
          <a:ext cx="923810" cy="295238"/>
        </a:xfrm>
        <a:prstGeom prst="rect">
          <a:avLst/>
        </a:prstGeom>
        <a:ln>
          <a:prstDash val="solid"/>
        </a:ln>
      </xdr:spPr>
    </xdr:pic>
    <xdr:clientData/>
  </xdr:twoCellAnchor>
  <xdr:twoCellAnchor editAs="oneCell">
    <xdr:from>
      <xdr:col>1</xdr:col>
      <xdr:colOff>1226207</xdr:colOff>
      <xdr:row>95</xdr:row>
      <xdr:rowOff>98534</xdr:rowOff>
    </xdr:from>
    <xdr:to>
      <xdr:col>1</xdr:col>
      <xdr:colOff>2226207</xdr:colOff>
      <xdr:row>95</xdr:row>
      <xdr:rowOff>412820</xdr:rowOff>
    </xdr:to>
    <xdr:pic>
      <xdr:nvPicPr>
        <xdr:cNvPr id="211" name="Picture 210"/>
        <xdr:cNvPicPr>
          <a:picLocks noChangeAspect="1"/>
        </xdr:cNvPicPr>
      </xdr:nvPicPr>
      <xdr:blipFill>
        <a:blip xmlns:r="http://schemas.openxmlformats.org/officeDocument/2006/relationships" r:embed="rId30"/>
        <a:stretch>
          <a:fillRect/>
        </a:stretch>
      </xdr:blipFill>
      <xdr:spPr>
        <a:xfrm>
          <a:off x="2244397" y="50427758"/>
          <a:ext cx="1000000" cy="314286"/>
        </a:xfrm>
        <a:prstGeom prst="rect">
          <a:avLst/>
        </a:prstGeom>
        <a:ln>
          <a:prstDash val="solid"/>
        </a:ln>
      </xdr:spPr>
    </xdr:pic>
    <xdr:clientData/>
  </xdr:twoCellAnchor>
  <xdr:twoCellAnchor editAs="oneCell">
    <xdr:from>
      <xdr:col>1</xdr:col>
      <xdr:colOff>1237155</xdr:colOff>
      <xdr:row>96</xdr:row>
      <xdr:rowOff>98534</xdr:rowOff>
    </xdr:from>
    <xdr:to>
      <xdr:col>1</xdr:col>
      <xdr:colOff>1770488</xdr:colOff>
      <xdr:row>96</xdr:row>
      <xdr:rowOff>393772</xdr:rowOff>
    </xdr:to>
    <xdr:pic>
      <xdr:nvPicPr>
        <xdr:cNvPr id="232" name="Picture 231"/>
        <xdr:cNvPicPr>
          <a:picLocks noChangeAspect="1"/>
        </xdr:cNvPicPr>
      </xdr:nvPicPr>
      <xdr:blipFill>
        <a:blip xmlns:r="http://schemas.openxmlformats.org/officeDocument/2006/relationships" r:embed="rId31"/>
        <a:stretch>
          <a:fillRect/>
        </a:stretch>
      </xdr:blipFill>
      <xdr:spPr>
        <a:xfrm>
          <a:off x="2255345" y="50909482"/>
          <a:ext cx="533333" cy="295238"/>
        </a:xfrm>
        <a:prstGeom prst="rect">
          <a:avLst/>
        </a:prstGeom>
        <a:ln>
          <a:prstDash val="solid"/>
        </a:ln>
      </xdr:spPr>
    </xdr:pic>
    <xdr:clientData/>
  </xdr:twoCellAnchor>
  <xdr:twoCellAnchor editAs="oneCell">
    <xdr:from>
      <xdr:col>1</xdr:col>
      <xdr:colOff>1872155</xdr:colOff>
      <xdr:row>99</xdr:row>
      <xdr:rowOff>197069</xdr:rowOff>
    </xdr:from>
    <xdr:to>
      <xdr:col>1</xdr:col>
      <xdr:colOff>2195965</xdr:colOff>
      <xdr:row>99</xdr:row>
      <xdr:rowOff>530402</xdr:rowOff>
    </xdr:to>
    <xdr:pic>
      <xdr:nvPicPr>
        <xdr:cNvPr id="235" name="Picture 234"/>
        <xdr:cNvPicPr>
          <a:picLocks noChangeAspect="1"/>
        </xdr:cNvPicPr>
      </xdr:nvPicPr>
      <xdr:blipFill>
        <a:blip xmlns:r="http://schemas.openxmlformats.org/officeDocument/2006/relationships" r:embed="rId32"/>
        <a:stretch>
          <a:fillRect/>
        </a:stretch>
      </xdr:blipFill>
      <xdr:spPr>
        <a:xfrm>
          <a:off x="2890345" y="52212328"/>
          <a:ext cx="323810" cy="333333"/>
        </a:xfrm>
        <a:prstGeom prst="rect">
          <a:avLst/>
        </a:prstGeom>
        <a:ln>
          <a:prstDash val="solid"/>
        </a:ln>
      </xdr:spPr>
    </xdr:pic>
    <xdr:clientData/>
  </xdr:twoCellAnchor>
  <xdr:twoCellAnchor editAs="oneCell">
    <xdr:from>
      <xdr:col>1</xdr:col>
      <xdr:colOff>1116725</xdr:colOff>
      <xdr:row>106</xdr:row>
      <xdr:rowOff>328448</xdr:rowOff>
    </xdr:from>
    <xdr:to>
      <xdr:col>1</xdr:col>
      <xdr:colOff>1954820</xdr:colOff>
      <xdr:row>106</xdr:row>
      <xdr:rowOff>642734</xdr:rowOff>
    </xdr:to>
    <xdr:pic>
      <xdr:nvPicPr>
        <xdr:cNvPr id="237" name="Picture 236"/>
        <xdr:cNvPicPr>
          <a:picLocks noChangeAspect="1"/>
        </xdr:cNvPicPr>
      </xdr:nvPicPr>
      <xdr:blipFill>
        <a:blip xmlns:r="http://schemas.openxmlformats.org/officeDocument/2006/relationships" r:embed="rId33"/>
        <a:stretch>
          <a:fillRect/>
        </a:stretch>
      </xdr:blipFill>
      <xdr:spPr>
        <a:xfrm>
          <a:off x="2134915" y="56679224"/>
          <a:ext cx="838095" cy="314286"/>
        </a:xfrm>
        <a:prstGeom prst="rect">
          <a:avLst/>
        </a:prstGeom>
        <a:ln>
          <a:prstDash val="solid"/>
        </a:ln>
      </xdr:spPr>
    </xdr:pic>
    <xdr:clientData/>
  </xdr:twoCellAnchor>
  <xdr:twoCellAnchor editAs="oneCell">
    <xdr:from>
      <xdr:col>1</xdr:col>
      <xdr:colOff>1160517</xdr:colOff>
      <xdr:row>107</xdr:row>
      <xdr:rowOff>218965</xdr:rowOff>
    </xdr:from>
    <xdr:to>
      <xdr:col>1</xdr:col>
      <xdr:colOff>1884327</xdr:colOff>
      <xdr:row>107</xdr:row>
      <xdr:rowOff>523727</xdr:rowOff>
    </xdr:to>
    <xdr:pic>
      <xdr:nvPicPr>
        <xdr:cNvPr id="238" name="Picture 237"/>
        <xdr:cNvPicPr>
          <a:picLocks noChangeAspect="1"/>
        </xdr:cNvPicPr>
      </xdr:nvPicPr>
      <xdr:blipFill>
        <a:blip xmlns:r="http://schemas.openxmlformats.org/officeDocument/2006/relationships" r:embed="rId34"/>
        <a:stretch>
          <a:fillRect/>
        </a:stretch>
      </xdr:blipFill>
      <xdr:spPr>
        <a:xfrm>
          <a:off x="2178707" y="57281379"/>
          <a:ext cx="723810" cy="304762"/>
        </a:xfrm>
        <a:prstGeom prst="rect">
          <a:avLst/>
        </a:prstGeom>
        <a:ln>
          <a:prstDash val="solid"/>
        </a:ln>
      </xdr:spPr>
    </xdr:pic>
    <xdr:clientData/>
  </xdr:twoCellAnchor>
  <xdr:twoCellAnchor editAs="oneCell">
    <xdr:from>
      <xdr:col>1</xdr:col>
      <xdr:colOff>1915949</xdr:colOff>
      <xdr:row>102</xdr:row>
      <xdr:rowOff>218966</xdr:rowOff>
    </xdr:from>
    <xdr:to>
      <xdr:col>1</xdr:col>
      <xdr:colOff>2211187</xdr:colOff>
      <xdr:row>102</xdr:row>
      <xdr:rowOff>523728</xdr:rowOff>
    </xdr:to>
    <xdr:pic>
      <xdr:nvPicPr>
        <xdr:cNvPr id="239" name="Picture 238"/>
        <xdr:cNvPicPr>
          <a:picLocks noChangeAspect="1"/>
        </xdr:cNvPicPr>
      </xdr:nvPicPr>
      <xdr:blipFill>
        <a:blip xmlns:r="http://schemas.openxmlformats.org/officeDocument/2006/relationships" r:embed="rId35"/>
        <a:stretch>
          <a:fillRect/>
        </a:stretch>
      </xdr:blipFill>
      <xdr:spPr>
        <a:xfrm>
          <a:off x="2934139" y="53668449"/>
          <a:ext cx="295238" cy="304762"/>
        </a:xfrm>
        <a:prstGeom prst="rect">
          <a:avLst/>
        </a:prstGeom>
        <a:ln>
          <a:prstDash val="solid"/>
        </a:ln>
      </xdr:spPr>
    </xdr:pic>
    <xdr:clientData/>
  </xdr:twoCellAnchor>
  <xdr:twoCellAnchor editAs="oneCell">
    <xdr:from>
      <xdr:col>1</xdr:col>
      <xdr:colOff>1664138</xdr:colOff>
      <xdr:row>85</xdr:row>
      <xdr:rowOff>229913</xdr:rowOff>
    </xdr:from>
    <xdr:to>
      <xdr:col>1</xdr:col>
      <xdr:colOff>1959376</xdr:colOff>
      <xdr:row>85</xdr:row>
      <xdr:rowOff>544199</xdr:rowOff>
    </xdr:to>
    <xdr:pic>
      <xdr:nvPicPr>
        <xdr:cNvPr id="242" name="Picture 241"/>
        <xdr:cNvPicPr>
          <a:picLocks noChangeAspect="1"/>
        </xdr:cNvPicPr>
      </xdr:nvPicPr>
      <xdr:blipFill>
        <a:blip xmlns:r="http://schemas.openxmlformats.org/officeDocument/2006/relationships" r:embed="rId36"/>
        <a:stretch>
          <a:fillRect/>
        </a:stretch>
      </xdr:blipFill>
      <xdr:spPr>
        <a:xfrm>
          <a:off x="2682328" y="45906120"/>
          <a:ext cx="295238" cy="314286"/>
        </a:xfrm>
        <a:prstGeom prst="rect">
          <a:avLst/>
        </a:prstGeom>
        <a:ln>
          <a:prstDash val="solid"/>
        </a:ln>
      </xdr:spPr>
    </xdr:pic>
    <xdr:clientData/>
  </xdr:twoCellAnchor>
  <xdr:twoCellAnchor editAs="oneCell">
    <xdr:from>
      <xdr:col>1</xdr:col>
      <xdr:colOff>974396</xdr:colOff>
      <xdr:row>110</xdr:row>
      <xdr:rowOff>262759</xdr:rowOff>
    </xdr:from>
    <xdr:to>
      <xdr:col>1</xdr:col>
      <xdr:colOff>1207958</xdr:colOff>
      <xdr:row>110</xdr:row>
      <xdr:rowOff>525517</xdr:rowOff>
    </xdr:to>
    <xdr:pic>
      <xdr:nvPicPr>
        <xdr:cNvPr id="206" name="Picture 205"/>
        <xdr:cNvPicPr>
          <a:picLocks noChangeAspect="1"/>
        </xdr:cNvPicPr>
      </xdr:nvPicPr>
      <xdr:blipFill>
        <a:blip xmlns:r="http://schemas.openxmlformats.org/officeDocument/2006/relationships" r:embed="rId37"/>
        <a:stretch>
          <a:fillRect/>
        </a:stretch>
      </xdr:blipFill>
      <xdr:spPr>
        <a:xfrm>
          <a:off x="1992586" y="59985604"/>
          <a:ext cx="233562" cy="262758"/>
        </a:xfrm>
        <a:prstGeom prst="rect">
          <a:avLst/>
        </a:prstGeom>
        <a:ln>
          <a:prstDash val="solid"/>
        </a:ln>
      </xdr:spPr>
    </xdr:pic>
    <xdr:clientData/>
  </xdr:twoCellAnchor>
  <xdr:twoCellAnchor editAs="oneCell">
    <xdr:from>
      <xdr:col>1</xdr:col>
      <xdr:colOff>974396</xdr:colOff>
      <xdr:row>111</xdr:row>
      <xdr:rowOff>112329</xdr:rowOff>
    </xdr:from>
    <xdr:to>
      <xdr:col>1</xdr:col>
      <xdr:colOff>1207958</xdr:colOff>
      <xdr:row>111</xdr:row>
      <xdr:rowOff>375087</xdr:rowOff>
    </xdr:to>
    <xdr:pic>
      <xdr:nvPicPr>
        <xdr:cNvPr id="234" name="Picture 233"/>
        <xdr:cNvPicPr>
          <a:picLocks noChangeAspect="1"/>
        </xdr:cNvPicPr>
      </xdr:nvPicPr>
      <xdr:blipFill>
        <a:blip xmlns:r="http://schemas.openxmlformats.org/officeDocument/2006/relationships" r:embed="rId37"/>
        <a:stretch>
          <a:fillRect/>
        </a:stretch>
      </xdr:blipFill>
      <xdr:spPr>
        <a:xfrm>
          <a:off x="1992586" y="60108881"/>
          <a:ext cx="233562" cy="262758"/>
        </a:xfrm>
        <a:prstGeom prst="rect">
          <a:avLst/>
        </a:prstGeom>
        <a:ln>
          <a:prstDash val="solid"/>
        </a:ln>
      </xdr:spPr>
    </xdr:pic>
    <xdr:clientData/>
  </xdr:twoCellAnchor>
  <xdr:twoCellAnchor editAs="oneCell">
    <xdr:from>
      <xdr:col>1</xdr:col>
      <xdr:colOff>1248103</xdr:colOff>
      <xdr:row>112</xdr:row>
      <xdr:rowOff>350345</xdr:rowOff>
    </xdr:from>
    <xdr:to>
      <xdr:col>1</xdr:col>
      <xdr:colOff>1543341</xdr:colOff>
      <xdr:row>112</xdr:row>
      <xdr:rowOff>597964</xdr:rowOff>
    </xdr:to>
    <xdr:pic>
      <xdr:nvPicPr>
        <xdr:cNvPr id="219" name="Picture 218"/>
        <xdr:cNvPicPr>
          <a:picLocks noChangeAspect="1"/>
        </xdr:cNvPicPr>
      </xdr:nvPicPr>
      <xdr:blipFill>
        <a:blip xmlns:r="http://schemas.openxmlformats.org/officeDocument/2006/relationships" r:embed="rId38"/>
        <a:stretch>
          <a:fillRect/>
        </a:stretch>
      </xdr:blipFill>
      <xdr:spPr>
        <a:xfrm>
          <a:off x="2266293" y="61978190"/>
          <a:ext cx="295238" cy="247619"/>
        </a:xfrm>
        <a:prstGeom prst="rect">
          <a:avLst/>
        </a:prstGeom>
        <a:ln>
          <a:prstDash val="solid"/>
        </a:ln>
      </xdr:spPr>
    </xdr:pic>
    <xdr:clientData/>
  </xdr:twoCellAnchor>
  <xdr:twoCellAnchor editAs="oneCell">
    <xdr:from>
      <xdr:col>1</xdr:col>
      <xdr:colOff>1280948</xdr:colOff>
      <xdr:row>113</xdr:row>
      <xdr:rowOff>284655</xdr:rowOff>
    </xdr:from>
    <xdr:to>
      <xdr:col>1</xdr:col>
      <xdr:colOff>1519043</xdr:colOff>
      <xdr:row>113</xdr:row>
      <xdr:rowOff>560845</xdr:rowOff>
    </xdr:to>
    <xdr:pic>
      <xdr:nvPicPr>
        <xdr:cNvPr id="222" name="Picture 221"/>
        <xdr:cNvPicPr>
          <a:picLocks noChangeAspect="1"/>
        </xdr:cNvPicPr>
      </xdr:nvPicPr>
      <xdr:blipFill>
        <a:blip xmlns:r="http://schemas.openxmlformats.org/officeDocument/2006/relationships" r:embed="rId39"/>
        <a:stretch>
          <a:fillRect/>
        </a:stretch>
      </xdr:blipFill>
      <xdr:spPr>
        <a:xfrm>
          <a:off x="2299138" y="62865000"/>
          <a:ext cx="238095" cy="276190"/>
        </a:xfrm>
        <a:prstGeom prst="rect">
          <a:avLst/>
        </a:prstGeom>
        <a:ln>
          <a:prstDash val="solid"/>
        </a:ln>
      </xdr:spPr>
    </xdr:pic>
    <xdr:clientData/>
  </xdr:twoCellAnchor>
  <xdr:twoCellAnchor editAs="oneCell">
    <xdr:from>
      <xdr:col>1</xdr:col>
      <xdr:colOff>1237155</xdr:colOff>
      <xdr:row>114</xdr:row>
      <xdr:rowOff>251810</xdr:rowOff>
    </xdr:from>
    <xdr:to>
      <xdr:col>1</xdr:col>
      <xdr:colOff>1503822</xdr:colOff>
      <xdr:row>114</xdr:row>
      <xdr:rowOff>489905</xdr:rowOff>
    </xdr:to>
    <xdr:pic>
      <xdr:nvPicPr>
        <xdr:cNvPr id="229" name="Picture 228"/>
        <xdr:cNvPicPr>
          <a:picLocks noChangeAspect="1"/>
        </xdr:cNvPicPr>
      </xdr:nvPicPr>
      <xdr:blipFill>
        <a:blip xmlns:r="http://schemas.openxmlformats.org/officeDocument/2006/relationships" r:embed="rId40"/>
        <a:stretch>
          <a:fillRect/>
        </a:stretch>
      </xdr:blipFill>
      <xdr:spPr>
        <a:xfrm>
          <a:off x="2255345" y="63598534"/>
          <a:ext cx="266667" cy="238095"/>
        </a:xfrm>
        <a:prstGeom prst="rect">
          <a:avLst/>
        </a:prstGeom>
        <a:ln>
          <a:prstDash val="solid"/>
        </a:ln>
      </xdr:spPr>
    </xdr:pic>
    <xdr:clientData/>
  </xdr:twoCellAnchor>
  <xdr:twoCellAnchor editAs="oneCell">
    <xdr:from>
      <xdr:col>1</xdr:col>
      <xdr:colOff>1795517</xdr:colOff>
      <xdr:row>145</xdr:row>
      <xdr:rowOff>262760</xdr:rowOff>
    </xdr:from>
    <xdr:to>
      <xdr:col>1</xdr:col>
      <xdr:colOff>2071707</xdr:colOff>
      <xdr:row>145</xdr:row>
      <xdr:rowOff>519903</xdr:rowOff>
    </xdr:to>
    <xdr:pic>
      <xdr:nvPicPr>
        <xdr:cNvPr id="8" name="Picture 7"/>
        <xdr:cNvPicPr>
          <a:picLocks noChangeAspect="1"/>
        </xdr:cNvPicPr>
      </xdr:nvPicPr>
      <xdr:blipFill>
        <a:blip xmlns:r="http://schemas.openxmlformats.org/officeDocument/2006/relationships" r:embed="rId41"/>
        <a:stretch>
          <a:fillRect/>
        </a:stretch>
      </xdr:blipFill>
      <xdr:spPr>
        <a:xfrm>
          <a:off x="2813707" y="79090346"/>
          <a:ext cx="276190" cy="257143"/>
        </a:xfrm>
        <a:prstGeom prst="rect">
          <a:avLst/>
        </a:prstGeom>
        <a:ln>
          <a:prstDash val="solid"/>
        </a:ln>
      </xdr:spPr>
    </xdr:pic>
    <xdr:clientData/>
  </xdr:twoCellAnchor>
  <xdr:twoCellAnchor editAs="oneCell">
    <xdr:from>
      <xdr:col>1</xdr:col>
      <xdr:colOff>1784569</xdr:colOff>
      <xdr:row>148</xdr:row>
      <xdr:rowOff>120431</xdr:rowOff>
    </xdr:from>
    <xdr:to>
      <xdr:col>1</xdr:col>
      <xdr:colOff>2060759</xdr:colOff>
      <xdr:row>148</xdr:row>
      <xdr:rowOff>396621</xdr:rowOff>
    </xdr:to>
    <xdr:pic>
      <xdr:nvPicPr>
        <xdr:cNvPr id="10" name="Picture 9"/>
        <xdr:cNvPicPr>
          <a:picLocks noChangeAspect="1"/>
        </xdr:cNvPicPr>
      </xdr:nvPicPr>
      <xdr:blipFill>
        <a:blip xmlns:r="http://schemas.openxmlformats.org/officeDocument/2006/relationships" r:embed="rId42"/>
        <a:stretch>
          <a:fillRect/>
        </a:stretch>
      </xdr:blipFill>
      <xdr:spPr>
        <a:xfrm>
          <a:off x="2802759" y="80655948"/>
          <a:ext cx="276190" cy="276190"/>
        </a:xfrm>
        <a:prstGeom prst="rect">
          <a:avLst/>
        </a:prstGeom>
        <a:ln>
          <a:prstDash val="solid"/>
        </a:ln>
      </xdr:spPr>
    </xdr:pic>
    <xdr:clientData/>
  </xdr:twoCellAnchor>
  <xdr:twoCellAnchor editAs="oneCell">
    <xdr:from>
      <xdr:col>1</xdr:col>
      <xdr:colOff>1784569</xdr:colOff>
      <xdr:row>149</xdr:row>
      <xdr:rowOff>1149570</xdr:rowOff>
    </xdr:from>
    <xdr:to>
      <xdr:col>1</xdr:col>
      <xdr:colOff>1965521</xdr:colOff>
      <xdr:row>149</xdr:row>
      <xdr:rowOff>1416237</xdr:rowOff>
    </xdr:to>
    <xdr:pic>
      <xdr:nvPicPr>
        <xdr:cNvPr id="11" name="Picture 10"/>
        <xdr:cNvPicPr>
          <a:picLocks noChangeAspect="1"/>
        </xdr:cNvPicPr>
      </xdr:nvPicPr>
      <xdr:blipFill>
        <a:blip xmlns:r="http://schemas.openxmlformats.org/officeDocument/2006/relationships" r:embed="rId43"/>
        <a:stretch>
          <a:fillRect/>
        </a:stretch>
      </xdr:blipFill>
      <xdr:spPr>
        <a:xfrm>
          <a:off x="2802759" y="81214311"/>
          <a:ext cx="180952" cy="266667"/>
        </a:xfrm>
        <a:prstGeom prst="rect">
          <a:avLst/>
        </a:prstGeom>
        <a:ln>
          <a:prstDash val="solid"/>
        </a:ln>
      </xdr:spPr>
    </xdr:pic>
    <xdr:clientData/>
  </xdr:twoCellAnchor>
  <xdr:twoCellAnchor editAs="oneCell">
    <xdr:from>
      <xdr:col>1</xdr:col>
      <xdr:colOff>1784569</xdr:colOff>
      <xdr:row>150</xdr:row>
      <xdr:rowOff>153277</xdr:rowOff>
    </xdr:from>
    <xdr:to>
      <xdr:col>1</xdr:col>
      <xdr:colOff>1965521</xdr:colOff>
      <xdr:row>150</xdr:row>
      <xdr:rowOff>410420</xdr:rowOff>
    </xdr:to>
    <xdr:pic>
      <xdr:nvPicPr>
        <xdr:cNvPr id="13" name="Picture 12"/>
        <xdr:cNvPicPr>
          <a:picLocks noChangeAspect="1"/>
        </xdr:cNvPicPr>
      </xdr:nvPicPr>
      <xdr:blipFill>
        <a:blip xmlns:r="http://schemas.openxmlformats.org/officeDocument/2006/relationships" r:embed="rId44"/>
        <a:stretch>
          <a:fillRect/>
        </a:stretch>
      </xdr:blipFill>
      <xdr:spPr>
        <a:xfrm>
          <a:off x="2802759" y="81652243"/>
          <a:ext cx="180952" cy="257143"/>
        </a:xfrm>
        <a:prstGeom prst="rect">
          <a:avLst/>
        </a:prstGeom>
        <a:ln>
          <a:prstDash val="solid"/>
        </a:ln>
      </xdr:spPr>
    </xdr:pic>
    <xdr:clientData/>
  </xdr:twoCellAnchor>
  <xdr:twoCellAnchor editAs="oneCell">
    <xdr:from>
      <xdr:col>1</xdr:col>
      <xdr:colOff>1740777</xdr:colOff>
      <xdr:row>151</xdr:row>
      <xdr:rowOff>153276</xdr:rowOff>
    </xdr:from>
    <xdr:to>
      <xdr:col>1</xdr:col>
      <xdr:colOff>1988396</xdr:colOff>
      <xdr:row>151</xdr:row>
      <xdr:rowOff>400895</xdr:rowOff>
    </xdr:to>
    <xdr:pic>
      <xdr:nvPicPr>
        <xdr:cNvPr id="221" name="Picture 220"/>
        <xdr:cNvPicPr>
          <a:picLocks noChangeAspect="1"/>
        </xdr:cNvPicPr>
      </xdr:nvPicPr>
      <xdr:blipFill>
        <a:blip xmlns:r="http://schemas.openxmlformats.org/officeDocument/2006/relationships" r:embed="rId45"/>
        <a:stretch>
          <a:fillRect/>
        </a:stretch>
      </xdr:blipFill>
      <xdr:spPr>
        <a:xfrm>
          <a:off x="2758967" y="82133966"/>
          <a:ext cx="247619" cy="247619"/>
        </a:xfrm>
        <a:prstGeom prst="rect">
          <a:avLst/>
        </a:prstGeom>
        <a:ln>
          <a:prstDash val="solid"/>
        </a:ln>
      </xdr:spPr>
    </xdr:pic>
    <xdr:clientData/>
  </xdr:twoCellAnchor>
  <xdr:twoCellAnchor editAs="oneCell">
    <xdr:from>
      <xdr:col>1</xdr:col>
      <xdr:colOff>1795518</xdr:colOff>
      <xdr:row>153</xdr:row>
      <xdr:rowOff>131379</xdr:rowOff>
    </xdr:from>
    <xdr:to>
      <xdr:col>1</xdr:col>
      <xdr:colOff>1957423</xdr:colOff>
      <xdr:row>153</xdr:row>
      <xdr:rowOff>378998</xdr:rowOff>
    </xdr:to>
    <xdr:pic>
      <xdr:nvPicPr>
        <xdr:cNvPr id="230" name="Picture 229"/>
        <xdr:cNvPicPr>
          <a:picLocks noChangeAspect="1"/>
        </xdr:cNvPicPr>
      </xdr:nvPicPr>
      <xdr:blipFill>
        <a:blip xmlns:r="http://schemas.openxmlformats.org/officeDocument/2006/relationships" r:embed="rId46"/>
        <a:stretch>
          <a:fillRect/>
        </a:stretch>
      </xdr:blipFill>
      <xdr:spPr>
        <a:xfrm>
          <a:off x="2813708" y="83075517"/>
          <a:ext cx="161905" cy="247619"/>
        </a:xfrm>
        <a:prstGeom prst="rect">
          <a:avLst/>
        </a:prstGeom>
        <a:ln>
          <a:prstDash val="solid"/>
        </a:ln>
      </xdr:spPr>
    </xdr:pic>
    <xdr:clientData/>
  </xdr:twoCellAnchor>
  <xdr:twoCellAnchor editAs="oneCell">
    <xdr:from>
      <xdr:col>1</xdr:col>
      <xdr:colOff>1773621</xdr:colOff>
      <xdr:row>154</xdr:row>
      <xdr:rowOff>164224</xdr:rowOff>
    </xdr:from>
    <xdr:to>
      <xdr:col>1</xdr:col>
      <xdr:colOff>1964097</xdr:colOff>
      <xdr:row>154</xdr:row>
      <xdr:rowOff>421367</xdr:rowOff>
    </xdr:to>
    <xdr:pic>
      <xdr:nvPicPr>
        <xdr:cNvPr id="231" name="Picture 230"/>
        <xdr:cNvPicPr>
          <a:picLocks noChangeAspect="1"/>
        </xdr:cNvPicPr>
      </xdr:nvPicPr>
      <xdr:blipFill>
        <a:blip xmlns:r="http://schemas.openxmlformats.org/officeDocument/2006/relationships" r:embed="rId47"/>
        <a:stretch>
          <a:fillRect/>
        </a:stretch>
      </xdr:blipFill>
      <xdr:spPr>
        <a:xfrm>
          <a:off x="2791811" y="83590086"/>
          <a:ext cx="190476" cy="257143"/>
        </a:xfrm>
        <a:prstGeom prst="rect">
          <a:avLst/>
        </a:prstGeom>
        <a:ln>
          <a:prstDash val="solid"/>
        </a:ln>
      </xdr:spPr>
    </xdr:pic>
    <xdr:clientData/>
  </xdr:twoCellAnchor>
  <xdr:twoCellAnchor editAs="oneCell">
    <xdr:from>
      <xdr:col>1</xdr:col>
      <xdr:colOff>1740776</xdr:colOff>
      <xdr:row>156</xdr:row>
      <xdr:rowOff>120433</xdr:rowOff>
    </xdr:from>
    <xdr:to>
      <xdr:col>1</xdr:col>
      <xdr:colOff>1921728</xdr:colOff>
      <xdr:row>156</xdr:row>
      <xdr:rowOff>387100</xdr:rowOff>
    </xdr:to>
    <xdr:pic>
      <xdr:nvPicPr>
        <xdr:cNvPr id="233" name="Picture 232"/>
        <xdr:cNvPicPr>
          <a:picLocks noChangeAspect="1"/>
        </xdr:cNvPicPr>
      </xdr:nvPicPr>
      <xdr:blipFill>
        <a:blip xmlns:r="http://schemas.openxmlformats.org/officeDocument/2006/relationships" r:embed="rId48"/>
        <a:stretch>
          <a:fillRect/>
        </a:stretch>
      </xdr:blipFill>
      <xdr:spPr>
        <a:xfrm>
          <a:off x="2758966" y="84509743"/>
          <a:ext cx="180952" cy="266667"/>
        </a:xfrm>
        <a:prstGeom prst="rect">
          <a:avLst/>
        </a:prstGeom>
        <a:ln>
          <a:prstDash val="solid"/>
        </a:ln>
      </xdr:spPr>
    </xdr:pic>
    <xdr:clientData/>
  </xdr:twoCellAnchor>
  <xdr:twoCellAnchor editAs="oneCell">
    <xdr:from>
      <xdr:col>1</xdr:col>
      <xdr:colOff>1696982</xdr:colOff>
      <xdr:row>158</xdr:row>
      <xdr:rowOff>109483</xdr:rowOff>
    </xdr:from>
    <xdr:to>
      <xdr:col>1</xdr:col>
      <xdr:colOff>1935077</xdr:colOff>
      <xdr:row>158</xdr:row>
      <xdr:rowOff>385673</xdr:rowOff>
    </xdr:to>
    <xdr:pic>
      <xdr:nvPicPr>
        <xdr:cNvPr id="236" name="Picture 235"/>
        <xdr:cNvPicPr>
          <a:picLocks noChangeAspect="1"/>
        </xdr:cNvPicPr>
      </xdr:nvPicPr>
      <xdr:blipFill>
        <a:blip xmlns:r="http://schemas.openxmlformats.org/officeDocument/2006/relationships" r:embed="rId49"/>
        <a:stretch>
          <a:fillRect/>
        </a:stretch>
      </xdr:blipFill>
      <xdr:spPr>
        <a:xfrm>
          <a:off x="2715172" y="85462242"/>
          <a:ext cx="238095" cy="276190"/>
        </a:xfrm>
        <a:prstGeom prst="rect">
          <a:avLst/>
        </a:prstGeom>
        <a:ln>
          <a:prstDash val="solid"/>
        </a:ln>
      </xdr:spPr>
    </xdr:pic>
    <xdr:clientData/>
  </xdr:twoCellAnchor>
  <xdr:twoCellAnchor editAs="oneCell">
    <xdr:from>
      <xdr:col>1</xdr:col>
      <xdr:colOff>1335690</xdr:colOff>
      <xdr:row>159</xdr:row>
      <xdr:rowOff>262759</xdr:rowOff>
    </xdr:from>
    <xdr:to>
      <xdr:col>1</xdr:col>
      <xdr:colOff>2030928</xdr:colOff>
      <xdr:row>159</xdr:row>
      <xdr:rowOff>519902</xdr:rowOff>
    </xdr:to>
    <xdr:pic>
      <xdr:nvPicPr>
        <xdr:cNvPr id="240" name="Picture 239"/>
        <xdr:cNvPicPr>
          <a:picLocks noChangeAspect="1"/>
        </xdr:cNvPicPr>
      </xdr:nvPicPr>
      <xdr:blipFill>
        <a:blip xmlns:r="http://schemas.openxmlformats.org/officeDocument/2006/relationships" r:embed="rId50"/>
        <a:stretch>
          <a:fillRect/>
        </a:stretch>
      </xdr:blipFill>
      <xdr:spPr>
        <a:xfrm>
          <a:off x="2353880" y="86097242"/>
          <a:ext cx="695238" cy="257143"/>
        </a:xfrm>
        <a:prstGeom prst="rect">
          <a:avLst/>
        </a:prstGeom>
        <a:ln>
          <a:prstDash val="solid"/>
        </a:ln>
      </xdr:spPr>
    </xdr:pic>
    <xdr:clientData/>
  </xdr:twoCellAnchor>
  <xdr:twoCellAnchor editAs="oneCell">
    <xdr:from>
      <xdr:col>1</xdr:col>
      <xdr:colOff>1817413</xdr:colOff>
      <xdr:row>162</xdr:row>
      <xdr:rowOff>142327</xdr:rowOff>
    </xdr:from>
    <xdr:to>
      <xdr:col>1</xdr:col>
      <xdr:colOff>2093603</xdr:colOff>
      <xdr:row>162</xdr:row>
      <xdr:rowOff>399470</xdr:rowOff>
    </xdr:to>
    <xdr:pic>
      <xdr:nvPicPr>
        <xdr:cNvPr id="241" name="Picture 240"/>
        <xdr:cNvPicPr>
          <a:picLocks noChangeAspect="1"/>
        </xdr:cNvPicPr>
      </xdr:nvPicPr>
      <xdr:blipFill>
        <a:blip xmlns:r="http://schemas.openxmlformats.org/officeDocument/2006/relationships" r:embed="rId51"/>
        <a:stretch>
          <a:fillRect/>
        </a:stretch>
      </xdr:blipFill>
      <xdr:spPr>
        <a:xfrm>
          <a:off x="2835603" y="87192068"/>
          <a:ext cx="276190" cy="257143"/>
        </a:xfrm>
        <a:prstGeom prst="rect">
          <a:avLst/>
        </a:prstGeom>
        <a:ln>
          <a:prstDash val="solid"/>
        </a:ln>
      </xdr:spPr>
    </xdr:pic>
    <xdr:clientData/>
  </xdr:twoCellAnchor>
  <xdr:twoCellAnchor editAs="oneCell">
    <xdr:from>
      <xdr:col>1</xdr:col>
      <xdr:colOff>1729827</xdr:colOff>
      <xdr:row>157</xdr:row>
      <xdr:rowOff>197069</xdr:rowOff>
    </xdr:from>
    <xdr:to>
      <xdr:col>1</xdr:col>
      <xdr:colOff>1891732</xdr:colOff>
      <xdr:row>157</xdr:row>
      <xdr:rowOff>330402</xdr:rowOff>
    </xdr:to>
    <xdr:pic>
      <xdr:nvPicPr>
        <xdr:cNvPr id="243" name="Picture 242"/>
        <xdr:cNvPicPr>
          <a:picLocks noChangeAspect="1"/>
        </xdr:cNvPicPr>
      </xdr:nvPicPr>
      <xdr:blipFill>
        <a:blip xmlns:r="http://schemas.openxmlformats.org/officeDocument/2006/relationships" r:embed="rId52"/>
        <a:stretch>
          <a:fillRect/>
        </a:stretch>
      </xdr:blipFill>
      <xdr:spPr>
        <a:xfrm>
          <a:off x="2748017" y="84849138"/>
          <a:ext cx="161905" cy="133333"/>
        </a:xfrm>
        <a:prstGeom prst="rect">
          <a:avLst/>
        </a:prstGeom>
        <a:ln>
          <a:prstDash val="solid"/>
        </a:ln>
      </xdr:spPr>
    </xdr:pic>
    <xdr:clientData/>
  </xdr:twoCellAnchor>
  <xdr:twoCellAnchor editAs="oneCell">
    <xdr:from>
      <xdr:col>1</xdr:col>
      <xdr:colOff>1806466</xdr:colOff>
      <xdr:row>165</xdr:row>
      <xdr:rowOff>131379</xdr:rowOff>
    </xdr:from>
    <xdr:to>
      <xdr:col>1</xdr:col>
      <xdr:colOff>2054085</xdr:colOff>
      <xdr:row>165</xdr:row>
      <xdr:rowOff>398046</xdr:rowOff>
    </xdr:to>
    <xdr:pic>
      <xdr:nvPicPr>
        <xdr:cNvPr id="244" name="Picture 243"/>
        <xdr:cNvPicPr>
          <a:picLocks noChangeAspect="1"/>
        </xdr:cNvPicPr>
      </xdr:nvPicPr>
      <xdr:blipFill>
        <a:blip xmlns:r="http://schemas.openxmlformats.org/officeDocument/2006/relationships" r:embed="rId53"/>
        <a:stretch>
          <a:fillRect/>
        </a:stretch>
      </xdr:blipFill>
      <xdr:spPr>
        <a:xfrm>
          <a:off x="2824656" y="88385431"/>
          <a:ext cx="247619" cy="266667"/>
        </a:xfrm>
        <a:prstGeom prst="rect">
          <a:avLst/>
        </a:prstGeom>
        <a:ln>
          <a:prstDash val="solid"/>
        </a:ln>
      </xdr:spPr>
    </xdr:pic>
    <xdr:clientData/>
  </xdr:twoCellAnchor>
  <xdr:twoCellAnchor editAs="oneCell">
    <xdr:from>
      <xdr:col>1</xdr:col>
      <xdr:colOff>1773621</xdr:colOff>
      <xdr:row>166</xdr:row>
      <xdr:rowOff>372243</xdr:rowOff>
    </xdr:from>
    <xdr:to>
      <xdr:col>1</xdr:col>
      <xdr:colOff>2116478</xdr:colOff>
      <xdr:row>166</xdr:row>
      <xdr:rowOff>648433</xdr:rowOff>
    </xdr:to>
    <xdr:pic>
      <xdr:nvPicPr>
        <xdr:cNvPr id="245" name="Picture 244"/>
        <xdr:cNvPicPr>
          <a:picLocks noChangeAspect="1"/>
        </xdr:cNvPicPr>
      </xdr:nvPicPr>
      <xdr:blipFill>
        <a:blip xmlns:r="http://schemas.openxmlformats.org/officeDocument/2006/relationships" r:embed="rId54"/>
        <a:stretch>
          <a:fillRect/>
        </a:stretch>
      </xdr:blipFill>
      <xdr:spPr>
        <a:xfrm>
          <a:off x="2791811" y="89108019"/>
          <a:ext cx="342857" cy="276190"/>
        </a:xfrm>
        <a:prstGeom prst="rect">
          <a:avLst/>
        </a:prstGeom>
        <a:ln>
          <a:prstDash val="solid"/>
        </a:ln>
      </xdr:spPr>
    </xdr:pic>
    <xdr:clientData/>
  </xdr:twoCellAnchor>
  <xdr:twoCellAnchor editAs="oneCell">
    <xdr:from>
      <xdr:col>1</xdr:col>
      <xdr:colOff>54741</xdr:colOff>
      <xdr:row>167</xdr:row>
      <xdr:rowOff>405087</xdr:rowOff>
    </xdr:from>
    <xdr:to>
      <xdr:col>1</xdr:col>
      <xdr:colOff>930931</xdr:colOff>
      <xdr:row>167</xdr:row>
      <xdr:rowOff>747944</xdr:rowOff>
    </xdr:to>
    <xdr:pic>
      <xdr:nvPicPr>
        <xdr:cNvPr id="246" name="Picture 245"/>
        <xdr:cNvPicPr>
          <a:picLocks noChangeAspect="1"/>
        </xdr:cNvPicPr>
      </xdr:nvPicPr>
      <xdr:blipFill>
        <a:blip xmlns:r="http://schemas.openxmlformats.org/officeDocument/2006/relationships" r:embed="rId55"/>
        <a:stretch>
          <a:fillRect/>
        </a:stretch>
      </xdr:blipFill>
      <xdr:spPr>
        <a:xfrm>
          <a:off x="1072931" y="91757501"/>
          <a:ext cx="876190" cy="342857"/>
        </a:xfrm>
        <a:prstGeom prst="rect">
          <a:avLst/>
        </a:prstGeom>
        <a:ln>
          <a:prstDash val="solid"/>
        </a:ln>
      </xdr:spPr>
    </xdr:pic>
    <xdr:clientData/>
  </xdr:twoCellAnchor>
  <xdr:twoCellAnchor editAs="oneCell">
    <xdr:from>
      <xdr:col>1</xdr:col>
      <xdr:colOff>32844</xdr:colOff>
      <xdr:row>168</xdr:row>
      <xdr:rowOff>437931</xdr:rowOff>
    </xdr:from>
    <xdr:to>
      <xdr:col>1</xdr:col>
      <xdr:colOff>909034</xdr:colOff>
      <xdr:row>168</xdr:row>
      <xdr:rowOff>780788</xdr:rowOff>
    </xdr:to>
    <xdr:pic>
      <xdr:nvPicPr>
        <xdr:cNvPr id="247" name="Picture 246"/>
        <xdr:cNvPicPr>
          <a:picLocks noChangeAspect="1"/>
        </xdr:cNvPicPr>
      </xdr:nvPicPr>
      <xdr:blipFill>
        <a:blip xmlns:r="http://schemas.openxmlformats.org/officeDocument/2006/relationships" r:embed="rId55"/>
        <a:stretch>
          <a:fillRect/>
        </a:stretch>
      </xdr:blipFill>
      <xdr:spPr>
        <a:xfrm>
          <a:off x="1051034" y="92742845"/>
          <a:ext cx="876190" cy="342857"/>
        </a:xfrm>
        <a:prstGeom prst="rect">
          <a:avLst/>
        </a:prstGeom>
        <a:ln>
          <a:prstDash val="solid"/>
        </a:ln>
      </xdr:spPr>
    </xdr:pic>
    <xdr:clientData/>
  </xdr:twoCellAnchor>
  <xdr:twoCellAnchor editAs="oneCell">
    <xdr:from>
      <xdr:col>1</xdr:col>
      <xdr:colOff>1959742</xdr:colOff>
      <xdr:row>213</xdr:row>
      <xdr:rowOff>229913</xdr:rowOff>
    </xdr:from>
    <xdr:to>
      <xdr:col>1</xdr:col>
      <xdr:colOff>2237958</xdr:colOff>
      <xdr:row>213</xdr:row>
      <xdr:rowOff>492672</xdr:rowOff>
    </xdr:to>
    <xdr:pic>
      <xdr:nvPicPr>
        <xdr:cNvPr id="249" name="Picture 248"/>
        <xdr:cNvPicPr>
          <a:picLocks noChangeAspect="1"/>
        </xdr:cNvPicPr>
      </xdr:nvPicPr>
      <xdr:blipFill>
        <a:blip xmlns:r="http://schemas.openxmlformats.org/officeDocument/2006/relationships" r:embed="rId56"/>
        <a:stretch>
          <a:fillRect/>
        </a:stretch>
      </xdr:blipFill>
      <xdr:spPr>
        <a:xfrm>
          <a:off x="2977932" y="104851637"/>
          <a:ext cx="278216" cy="262759"/>
        </a:xfrm>
        <a:prstGeom prst="rect">
          <a:avLst/>
        </a:prstGeom>
        <a:ln>
          <a:prstDash val="solid"/>
        </a:ln>
      </xdr:spPr>
    </xdr:pic>
    <xdr:clientData/>
  </xdr:twoCellAnchor>
  <xdr:twoCellAnchor editAs="oneCell">
    <xdr:from>
      <xdr:col>1</xdr:col>
      <xdr:colOff>1915948</xdr:colOff>
      <xdr:row>216</xdr:row>
      <xdr:rowOff>229914</xdr:rowOff>
    </xdr:from>
    <xdr:to>
      <xdr:col>1</xdr:col>
      <xdr:colOff>2182514</xdr:colOff>
      <xdr:row>216</xdr:row>
      <xdr:rowOff>536466</xdr:rowOff>
    </xdr:to>
    <xdr:pic>
      <xdr:nvPicPr>
        <xdr:cNvPr id="251" name="Picture 250"/>
        <xdr:cNvPicPr>
          <a:picLocks noChangeAspect="1"/>
        </xdr:cNvPicPr>
      </xdr:nvPicPr>
      <xdr:blipFill>
        <a:blip xmlns:r="http://schemas.openxmlformats.org/officeDocument/2006/relationships" r:embed="rId57"/>
        <a:stretch>
          <a:fillRect/>
        </a:stretch>
      </xdr:blipFill>
      <xdr:spPr>
        <a:xfrm>
          <a:off x="2934138" y="106045000"/>
          <a:ext cx="266566" cy="306552"/>
        </a:xfrm>
        <a:prstGeom prst="rect">
          <a:avLst/>
        </a:prstGeom>
        <a:ln>
          <a:prstDash val="solid"/>
        </a:ln>
      </xdr:spPr>
    </xdr:pic>
    <xdr:clientData/>
  </xdr:twoCellAnchor>
  <xdr:twoCellAnchor editAs="oneCell">
    <xdr:from>
      <xdr:col>1</xdr:col>
      <xdr:colOff>1872154</xdr:colOff>
      <xdr:row>223</xdr:row>
      <xdr:rowOff>153274</xdr:rowOff>
    </xdr:from>
    <xdr:to>
      <xdr:col>1</xdr:col>
      <xdr:colOff>2148051</xdr:colOff>
      <xdr:row>223</xdr:row>
      <xdr:rowOff>416033</xdr:rowOff>
    </xdr:to>
    <xdr:pic>
      <xdr:nvPicPr>
        <xdr:cNvPr id="253" name="Picture 252"/>
        <xdr:cNvPicPr>
          <a:picLocks noChangeAspect="1"/>
        </xdr:cNvPicPr>
      </xdr:nvPicPr>
      <xdr:blipFill>
        <a:blip xmlns:r="http://schemas.openxmlformats.org/officeDocument/2006/relationships" r:embed="rId58"/>
        <a:stretch>
          <a:fillRect/>
        </a:stretch>
      </xdr:blipFill>
      <xdr:spPr>
        <a:xfrm>
          <a:off x="2890344" y="111453446"/>
          <a:ext cx="275897" cy="262759"/>
        </a:xfrm>
        <a:prstGeom prst="rect">
          <a:avLst/>
        </a:prstGeom>
        <a:ln>
          <a:prstDash val="solid"/>
        </a:ln>
      </xdr:spPr>
    </xdr:pic>
    <xdr:clientData/>
  </xdr:twoCellAnchor>
  <xdr:twoCellAnchor editAs="oneCell">
    <xdr:from>
      <xdr:col>1</xdr:col>
      <xdr:colOff>2069224</xdr:colOff>
      <xdr:row>241</xdr:row>
      <xdr:rowOff>175173</xdr:rowOff>
    </xdr:from>
    <xdr:to>
      <xdr:col>1</xdr:col>
      <xdr:colOff>2277241</xdr:colOff>
      <xdr:row>241</xdr:row>
      <xdr:rowOff>383190</xdr:rowOff>
    </xdr:to>
    <xdr:pic>
      <xdr:nvPicPr>
        <xdr:cNvPr id="257" name="Picture 256"/>
        <xdr:cNvPicPr>
          <a:picLocks noChangeAspect="1"/>
        </xdr:cNvPicPr>
      </xdr:nvPicPr>
      <xdr:blipFill>
        <a:blip xmlns:r="http://schemas.openxmlformats.org/officeDocument/2006/relationships" r:embed="rId59"/>
        <a:stretch>
          <a:fillRect/>
        </a:stretch>
      </xdr:blipFill>
      <xdr:spPr>
        <a:xfrm>
          <a:off x="3087414" y="116752414"/>
          <a:ext cx="208017" cy="208017"/>
        </a:xfrm>
        <a:prstGeom prst="rect">
          <a:avLst/>
        </a:prstGeom>
        <a:ln>
          <a:prstDash val="solid"/>
        </a:ln>
      </xdr:spPr>
    </xdr:pic>
    <xdr:clientData/>
  </xdr:twoCellAnchor>
  <xdr:twoCellAnchor editAs="oneCell">
    <xdr:from>
      <xdr:col>1</xdr:col>
      <xdr:colOff>2047327</xdr:colOff>
      <xdr:row>226</xdr:row>
      <xdr:rowOff>197068</xdr:rowOff>
    </xdr:from>
    <xdr:to>
      <xdr:col>1</xdr:col>
      <xdr:colOff>2255344</xdr:colOff>
      <xdr:row>226</xdr:row>
      <xdr:rowOff>405085</xdr:rowOff>
    </xdr:to>
    <xdr:pic>
      <xdr:nvPicPr>
        <xdr:cNvPr id="258" name="Picture 257"/>
        <xdr:cNvPicPr>
          <a:picLocks noChangeAspect="1"/>
        </xdr:cNvPicPr>
      </xdr:nvPicPr>
      <xdr:blipFill>
        <a:blip xmlns:r="http://schemas.openxmlformats.org/officeDocument/2006/relationships" r:embed="rId59"/>
        <a:stretch>
          <a:fillRect/>
        </a:stretch>
      </xdr:blipFill>
      <xdr:spPr>
        <a:xfrm>
          <a:off x="3065517" y="112690602"/>
          <a:ext cx="208017" cy="208017"/>
        </a:xfrm>
        <a:prstGeom prst="rect">
          <a:avLst/>
        </a:prstGeom>
        <a:ln>
          <a:prstDash val="solid"/>
        </a:ln>
      </xdr:spPr>
    </xdr:pic>
    <xdr:clientData/>
  </xdr:twoCellAnchor>
  <xdr:twoCellAnchor editAs="oneCell">
    <xdr:from>
      <xdr:col>1</xdr:col>
      <xdr:colOff>2091121</xdr:colOff>
      <xdr:row>247</xdr:row>
      <xdr:rowOff>142327</xdr:rowOff>
    </xdr:from>
    <xdr:to>
      <xdr:col>2</xdr:col>
      <xdr:colOff>2191</xdr:colOff>
      <xdr:row>247</xdr:row>
      <xdr:rowOff>405086</xdr:rowOff>
    </xdr:to>
    <xdr:pic>
      <xdr:nvPicPr>
        <xdr:cNvPr id="261" name="Picture 260"/>
        <xdr:cNvPicPr>
          <a:picLocks noChangeAspect="1"/>
        </xdr:cNvPicPr>
      </xdr:nvPicPr>
      <xdr:blipFill>
        <a:blip xmlns:r="http://schemas.openxmlformats.org/officeDocument/2006/relationships" r:embed="rId58"/>
        <a:stretch>
          <a:fillRect/>
        </a:stretch>
      </xdr:blipFill>
      <xdr:spPr>
        <a:xfrm>
          <a:off x="3109311" y="119106293"/>
          <a:ext cx="275897" cy="262759"/>
        </a:xfrm>
        <a:prstGeom prst="rect">
          <a:avLst/>
        </a:prstGeom>
        <a:ln>
          <a:prstDash val="solid"/>
        </a:ln>
      </xdr:spPr>
    </xdr:pic>
    <xdr:clientData/>
  </xdr:twoCellAnchor>
  <xdr:twoCellAnchor editAs="oneCell">
    <xdr:from>
      <xdr:col>1</xdr:col>
      <xdr:colOff>492672</xdr:colOff>
      <xdr:row>249</xdr:row>
      <xdr:rowOff>153275</xdr:rowOff>
    </xdr:from>
    <xdr:to>
      <xdr:col>1</xdr:col>
      <xdr:colOff>987910</xdr:colOff>
      <xdr:row>249</xdr:row>
      <xdr:rowOff>400894</xdr:rowOff>
    </xdr:to>
    <xdr:pic>
      <xdr:nvPicPr>
        <xdr:cNvPr id="262" name="Picture 261"/>
        <xdr:cNvPicPr>
          <a:picLocks noChangeAspect="1"/>
        </xdr:cNvPicPr>
      </xdr:nvPicPr>
      <xdr:blipFill>
        <a:blip xmlns:r="http://schemas.openxmlformats.org/officeDocument/2006/relationships" r:embed="rId60"/>
        <a:stretch>
          <a:fillRect/>
        </a:stretch>
      </xdr:blipFill>
      <xdr:spPr>
        <a:xfrm>
          <a:off x="1510862" y="120332499"/>
          <a:ext cx="495238" cy="247619"/>
        </a:xfrm>
        <a:prstGeom prst="rect">
          <a:avLst/>
        </a:prstGeom>
        <a:ln>
          <a:prstDash val="solid"/>
        </a:ln>
      </xdr:spPr>
    </xdr:pic>
    <xdr:clientData/>
  </xdr:twoCellAnchor>
  <xdr:twoCellAnchor editAs="oneCell">
    <xdr:from>
      <xdr:col>1</xdr:col>
      <xdr:colOff>1215259</xdr:colOff>
      <xdr:row>250</xdr:row>
      <xdr:rowOff>153276</xdr:rowOff>
    </xdr:from>
    <xdr:to>
      <xdr:col>1</xdr:col>
      <xdr:colOff>2310497</xdr:colOff>
      <xdr:row>250</xdr:row>
      <xdr:rowOff>400895</xdr:rowOff>
    </xdr:to>
    <xdr:pic>
      <xdr:nvPicPr>
        <xdr:cNvPr id="263" name="Picture 262"/>
        <xdr:cNvPicPr>
          <a:picLocks noChangeAspect="1"/>
        </xdr:cNvPicPr>
      </xdr:nvPicPr>
      <xdr:blipFill>
        <a:blip xmlns:r="http://schemas.openxmlformats.org/officeDocument/2006/relationships" r:embed="rId61"/>
        <a:stretch>
          <a:fillRect/>
        </a:stretch>
      </xdr:blipFill>
      <xdr:spPr>
        <a:xfrm>
          <a:off x="2233449" y="120836121"/>
          <a:ext cx="1095238" cy="247619"/>
        </a:xfrm>
        <a:prstGeom prst="rect">
          <a:avLst/>
        </a:prstGeom>
        <a:ln>
          <a:prstDash val="solid"/>
        </a:ln>
      </xdr:spPr>
    </xdr:pic>
    <xdr:clientData/>
  </xdr:twoCellAnchor>
  <xdr:twoCellAnchor editAs="oneCell">
    <xdr:from>
      <xdr:col>1</xdr:col>
      <xdr:colOff>43794</xdr:colOff>
      <xdr:row>251</xdr:row>
      <xdr:rowOff>503620</xdr:rowOff>
    </xdr:from>
    <xdr:to>
      <xdr:col>1</xdr:col>
      <xdr:colOff>2244397</xdr:colOff>
      <xdr:row>251</xdr:row>
      <xdr:rowOff>720073</xdr:rowOff>
    </xdr:to>
    <xdr:pic>
      <xdr:nvPicPr>
        <xdr:cNvPr id="264" name="Picture 263"/>
        <xdr:cNvPicPr>
          <a:picLocks noChangeAspect="1"/>
        </xdr:cNvPicPr>
      </xdr:nvPicPr>
      <xdr:blipFill>
        <a:blip xmlns:r="http://schemas.openxmlformats.org/officeDocument/2006/relationships" r:embed="rId62"/>
        <a:stretch>
          <a:fillRect/>
        </a:stretch>
      </xdr:blipFill>
      <xdr:spPr>
        <a:xfrm>
          <a:off x="1061984" y="121690086"/>
          <a:ext cx="2200603" cy="216453"/>
        </a:xfrm>
        <a:prstGeom prst="rect">
          <a:avLst/>
        </a:prstGeom>
        <a:ln>
          <a:prstDash val="solid"/>
        </a:ln>
      </xdr:spPr>
    </xdr:pic>
    <xdr:clientData/>
  </xdr:twoCellAnchor>
  <xdr:twoCellAnchor editAs="oneCell">
    <xdr:from>
      <xdr:col>1</xdr:col>
      <xdr:colOff>689742</xdr:colOff>
      <xdr:row>252</xdr:row>
      <xdr:rowOff>142327</xdr:rowOff>
    </xdr:from>
    <xdr:to>
      <xdr:col>1</xdr:col>
      <xdr:colOff>1384980</xdr:colOff>
      <xdr:row>252</xdr:row>
      <xdr:rowOff>418517</xdr:rowOff>
    </xdr:to>
    <xdr:pic>
      <xdr:nvPicPr>
        <xdr:cNvPr id="265" name="Picture 264"/>
        <xdr:cNvPicPr>
          <a:picLocks noChangeAspect="1"/>
        </xdr:cNvPicPr>
      </xdr:nvPicPr>
      <xdr:blipFill>
        <a:blip xmlns:r="http://schemas.openxmlformats.org/officeDocument/2006/relationships" r:embed="rId63"/>
        <a:stretch>
          <a:fillRect/>
        </a:stretch>
      </xdr:blipFill>
      <xdr:spPr>
        <a:xfrm>
          <a:off x="1707932" y="122106120"/>
          <a:ext cx="695238" cy="276190"/>
        </a:xfrm>
        <a:prstGeom prst="rect">
          <a:avLst/>
        </a:prstGeom>
        <a:ln>
          <a:prstDash val="solid"/>
        </a:ln>
      </xdr:spPr>
    </xdr:pic>
    <xdr:clientData/>
  </xdr:twoCellAnchor>
  <xdr:twoCellAnchor editAs="oneCell">
    <xdr:from>
      <xdr:col>1</xdr:col>
      <xdr:colOff>1926896</xdr:colOff>
      <xdr:row>255</xdr:row>
      <xdr:rowOff>240861</xdr:rowOff>
    </xdr:from>
    <xdr:to>
      <xdr:col>1</xdr:col>
      <xdr:colOff>2262644</xdr:colOff>
      <xdr:row>255</xdr:row>
      <xdr:rowOff>492672</xdr:rowOff>
    </xdr:to>
    <xdr:pic>
      <xdr:nvPicPr>
        <xdr:cNvPr id="267" name="Picture 266"/>
        <xdr:cNvPicPr>
          <a:picLocks noChangeAspect="1"/>
        </xdr:cNvPicPr>
      </xdr:nvPicPr>
      <xdr:blipFill>
        <a:blip xmlns:r="http://schemas.openxmlformats.org/officeDocument/2006/relationships" r:embed="rId64"/>
        <a:stretch>
          <a:fillRect/>
        </a:stretch>
      </xdr:blipFill>
      <xdr:spPr>
        <a:xfrm>
          <a:off x="2945086" y="123189999"/>
          <a:ext cx="335748" cy="251811"/>
        </a:xfrm>
        <a:prstGeom prst="rect">
          <a:avLst/>
        </a:prstGeom>
        <a:ln>
          <a:prstDash val="solid"/>
        </a:ln>
      </xdr:spPr>
    </xdr:pic>
    <xdr:clientData/>
  </xdr:twoCellAnchor>
  <xdr:twoCellAnchor editAs="oneCell">
    <xdr:from>
      <xdr:col>1</xdr:col>
      <xdr:colOff>1324741</xdr:colOff>
      <xdr:row>256</xdr:row>
      <xdr:rowOff>109483</xdr:rowOff>
    </xdr:from>
    <xdr:to>
      <xdr:col>1</xdr:col>
      <xdr:colOff>1620344</xdr:colOff>
      <xdr:row>256</xdr:row>
      <xdr:rowOff>372241</xdr:rowOff>
    </xdr:to>
    <xdr:pic>
      <xdr:nvPicPr>
        <xdr:cNvPr id="268" name="Picture 267"/>
        <xdr:cNvPicPr>
          <a:picLocks noChangeAspect="1"/>
        </xdr:cNvPicPr>
      </xdr:nvPicPr>
      <xdr:blipFill>
        <a:blip xmlns:r="http://schemas.openxmlformats.org/officeDocument/2006/relationships" r:embed="rId65"/>
        <a:stretch>
          <a:fillRect/>
        </a:stretch>
      </xdr:blipFill>
      <xdr:spPr>
        <a:xfrm>
          <a:off x="2342931" y="123770259"/>
          <a:ext cx="295603" cy="262758"/>
        </a:xfrm>
        <a:prstGeom prst="rect">
          <a:avLst/>
        </a:prstGeom>
        <a:ln>
          <a:prstDash val="solid"/>
        </a:ln>
      </xdr:spPr>
    </xdr:pic>
    <xdr:clientData/>
  </xdr:twoCellAnchor>
  <xdr:twoCellAnchor editAs="oneCell">
    <xdr:from>
      <xdr:col>1</xdr:col>
      <xdr:colOff>1313793</xdr:colOff>
      <xdr:row>257</xdr:row>
      <xdr:rowOff>142328</xdr:rowOff>
    </xdr:from>
    <xdr:to>
      <xdr:col>1</xdr:col>
      <xdr:colOff>1649541</xdr:colOff>
      <xdr:row>257</xdr:row>
      <xdr:rowOff>394139</xdr:rowOff>
    </xdr:to>
    <xdr:pic>
      <xdr:nvPicPr>
        <xdr:cNvPr id="269" name="Picture 268"/>
        <xdr:cNvPicPr>
          <a:picLocks noChangeAspect="1"/>
        </xdr:cNvPicPr>
      </xdr:nvPicPr>
      <xdr:blipFill>
        <a:blip xmlns:r="http://schemas.openxmlformats.org/officeDocument/2006/relationships" r:embed="rId64"/>
        <a:stretch>
          <a:fillRect/>
        </a:stretch>
      </xdr:blipFill>
      <xdr:spPr>
        <a:xfrm>
          <a:off x="2331983" y="124284828"/>
          <a:ext cx="335748" cy="251811"/>
        </a:xfrm>
        <a:prstGeom prst="rect">
          <a:avLst/>
        </a:prstGeom>
        <a:ln>
          <a:prstDash val="solid"/>
        </a:ln>
      </xdr:spPr>
    </xdr:pic>
    <xdr:clientData/>
  </xdr:twoCellAnchor>
  <xdr:twoCellAnchor editAs="oneCell">
    <xdr:from>
      <xdr:col>1</xdr:col>
      <xdr:colOff>1905000</xdr:colOff>
      <xdr:row>260</xdr:row>
      <xdr:rowOff>240862</xdr:rowOff>
    </xdr:from>
    <xdr:to>
      <xdr:col>1</xdr:col>
      <xdr:colOff>2180897</xdr:colOff>
      <xdr:row>260</xdr:row>
      <xdr:rowOff>503621</xdr:rowOff>
    </xdr:to>
    <xdr:pic>
      <xdr:nvPicPr>
        <xdr:cNvPr id="271" name="Picture 270"/>
        <xdr:cNvPicPr>
          <a:picLocks noChangeAspect="1"/>
        </xdr:cNvPicPr>
      </xdr:nvPicPr>
      <xdr:blipFill>
        <a:blip xmlns:r="http://schemas.openxmlformats.org/officeDocument/2006/relationships" r:embed="rId58"/>
        <a:stretch>
          <a:fillRect/>
        </a:stretch>
      </xdr:blipFill>
      <xdr:spPr>
        <a:xfrm>
          <a:off x="2923190" y="125346810"/>
          <a:ext cx="275897" cy="262759"/>
        </a:xfrm>
        <a:prstGeom prst="rect">
          <a:avLst/>
        </a:prstGeom>
        <a:ln>
          <a:prstDash val="solid"/>
        </a:ln>
      </xdr:spPr>
    </xdr:pic>
    <xdr:clientData/>
  </xdr:twoCellAnchor>
  <xdr:twoCellAnchor editAs="oneCell">
    <xdr:from>
      <xdr:col>1</xdr:col>
      <xdr:colOff>1675086</xdr:colOff>
      <xdr:row>263</xdr:row>
      <xdr:rowOff>229914</xdr:rowOff>
    </xdr:from>
    <xdr:to>
      <xdr:col>1</xdr:col>
      <xdr:colOff>1979848</xdr:colOff>
      <xdr:row>263</xdr:row>
      <xdr:rowOff>525152</xdr:rowOff>
    </xdr:to>
    <xdr:pic>
      <xdr:nvPicPr>
        <xdr:cNvPr id="272" name="Picture 271"/>
        <xdr:cNvPicPr>
          <a:picLocks noChangeAspect="1"/>
        </xdr:cNvPicPr>
      </xdr:nvPicPr>
      <xdr:blipFill>
        <a:blip xmlns:r="http://schemas.openxmlformats.org/officeDocument/2006/relationships" r:embed="rId66"/>
        <a:stretch>
          <a:fillRect/>
        </a:stretch>
      </xdr:blipFill>
      <xdr:spPr>
        <a:xfrm>
          <a:off x="2693276" y="126529224"/>
          <a:ext cx="304762" cy="295238"/>
        </a:xfrm>
        <a:prstGeom prst="rect">
          <a:avLst/>
        </a:prstGeom>
        <a:ln>
          <a:prstDash val="solid"/>
        </a:ln>
      </xdr:spPr>
    </xdr:pic>
    <xdr:clientData/>
  </xdr:twoCellAnchor>
  <xdr:twoCellAnchor editAs="oneCell">
    <xdr:from>
      <xdr:col>1</xdr:col>
      <xdr:colOff>1937845</xdr:colOff>
      <xdr:row>267</xdr:row>
      <xdr:rowOff>175172</xdr:rowOff>
    </xdr:from>
    <xdr:to>
      <xdr:col>1</xdr:col>
      <xdr:colOff>2198416</xdr:colOff>
      <xdr:row>267</xdr:row>
      <xdr:rowOff>405087</xdr:rowOff>
    </xdr:to>
    <xdr:pic>
      <xdr:nvPicPr>
        <xdr:cNvPr id="277" name="Picture 276"/>
        <xdr:cNvPicPr>
          <a:picLocks noChangeAspect="1"/>
        </xdr:cNvPicPr>
      </xdr:nvPicPr>
      <xdr:blipFill>
        <a:blip xmlns:r="http://schemas.openxmlformats.org/officeDocument/2006/relationships" r:embed="rId67"/>
        <a:stretch>
          <a:fillRect/>
        </a:stretch>
      </xdr:blipFill>
      <xdr:spPr>
        <a:xfrm>
          <a:off x="2956035" y="127941551"/>
          <a:ext cx="260571" cy="229915"/>
        </a:xfrm>
        <a:prstGeom prst="rect">
          <a:avLst/>
        </a:prstGeom>
        <a:ln>
          <a:prstDash val="solid"/>
        </a:ln>
      </xdr:spPr>
    </xdr:pic>
    <xdr:clientData/>
  </xdr:twoCellAnchor>
  <xdr:twoCellAnchor editAs="oneCell">
    <xdr:from>
      <xdr:col>1</xdr:col>
      <xdr:colOff>1970690</xdr:colOff>
      <xdr:row>272</xdr:row>
      <xdr:rowOff>120431</xdr:rowOff>
    </xdr:from>
    <xdr:to>
      <xdr:col>1</xdr:col>
      <xdr:colOff>2236488</xdr:colOff>
      <xdr:row>272</xdr:row>
      <xdr:rowOff>372241</xdr:rowOff>
    </xdr:to>
    <xdr:pic>
      <xdr:nvPicPr>
        <xdr:cNvPr id="279" name="Picture 278"/>
        <xdr:cNvPicPr>
          <a:picLocks noChangeAspect="1"/>
        </xdr:cNvPicPr>
      </xdr:nvPicPr>
      <xdr:blipFill>
        <a:blip xmlns:r="http://schemas.openxmlformats.org/officeDocument/2006/relationships" r:embed="rId68"/>
        <a:stretch>
          <a:fillRect/>
        </a:stretch>
      </xdr:blipFill>
      <xdr:spPr>
        <a:xfrm>
          <a:off x="2988880" y="130601983"/>
          <a:ext cx="265798" cy="251810"/>
        </a:xfrm>
        <a:prstGeom prst="rect">
          <a:avLst/>
        </a:prstGeom>
        <a:ln>
          <a:prstDash val="solid"/>
        </a:ln>
      </xdr:spPr>
    </xdr:pic>
    <xdr:clientData/>
  </xdr:twoCellAnchor>
  <xdr:twoCellAnchor editAs="oneCell">
    <xdr:from>
      <xdr:col>1</xdr:col>
      <xdr:colOff>1478017</xdr:colOff>
      <xdr:row>273</xdr:row>
      <xdr:rowOff>488293</xdr:rowOff>
    </xdr:from>
    <xdr:to>
      <xdr:col>1</xdr:col>
      <xdr:colOff>2154207</xdr:colOff>
      <xdr:row>273</xdr:row>
      <xdr:rowOff>754960</xdr:rowOff>
    </xdr:to>
    <xdr:pic>
      <xdr:nvPicPr>
        <xdr:cNvPr id="280" name="Picture 279"/>
        <xdr:cNvPicPr>
          <a:picLocks noChangeAspect="1"/>
        </xdr:cNvPicPr>
      </xdr:nvPicPr>
      <xdr:blipFill>
        <a:blip xmlns:r="http://schemas.openxmlformats.org/officeDocument/2006/relationships" r:embed="rId69"/>
        <a:stretch>
          <a:fillRect/>
        </a:stretch>
      </xdr:blipFill>
      <xdr:spPr>
        <a:xfrm>
          <a:off x="2496207" y="131681483"/>
          <a:ext cx="676190" cy="266667"/>
        </a:xfrm>
        <a:prstGeom prst="rect">
          <a:avLst/>
        </a:prstGeom>
        <a:ln>
          <a:prstDash val="solid"/>
        </a:ln>
      </xdr:spPr>
    </xdr:pic>
    <xdr:clientData/>
  </xdr:twoCellAnchor>
  <xdr:twoCellAnchor editAs="oneCell">
    <xdr:from>
      <xdr:col>1</xdr:col>
      <xdr:colOff>2047327</xdr:colOff>
      <xdr:row>276</xdr:row>
      <xdr:rowOff>54740</xdr:rowOff>
    </xdr:from>
    <xdr:to>
      <xdr:col>1</xdr:col>
      <xdr:colOff>2325645</xdr:colOff>
      <xdr:row>276</xdr:row>
      <xdr:rowOff>306551</xdr:rowOff>
    </xdr:to>
    <xdr:pic>
      <xdr:nvPicPr>
        <xdr:cNvPr id="15" name="Picture 14"/>
        <xdr:cNvPicPr>
          <a:picLocks noChangeAspect="1"/>
        </xdr:cNvPicPr>
      </xdr:nvPicPr>
      <xdr:blipFill>
        <a:blip xmlns:r="http://schemas.openxmlformats.org/officeDocument/2006/relationships" r:embed="rId70"/>
        <a:stretch>
          <a:fillRect/>
        </a:stretch>
      </xdr:blipFill>
      <xdr:spPr>
        <a:xfrm>
          <a:off x="3065517" y="132944912"/>
          <a:ext cx="278318" cy="251811"/>
        </a:xfrm>
        <a:prstGeom prst="rect">
          <a:avLst/>
        </a:prstGeom>
        <a:ln>
          <a:prstDash val="solid"/>
        </a:ln>
      </xdr:spPr>
    </xdr:pic>
    <xdr:clientData/>
  </xdr:twoCellAnchor>
  <xdr:twoCellAnchor editAs="oneCell">
    <xdr:from>
      <xdr:col>1</xdr:col>
      <xdr:colOff>1347410</xdr:colOff>
      <xdr:row>279</xdr:row>
      <xdr:rowOff>93126</xdr:rowOff>
    </xdr:from>
    <xdr:to>
      <xdr:col>1</xdr:col>
      <xdr:colOff>2347410</xdr:colOff>
      <xdr:row>279</xdr:row>
      <xdr:rowOff>397888</xdr:rowOff>
    </xdr:to>
    <xdr:pic>
      <xdr:nvPicPr>
        <xdr:cNvPr id="16" name="Picture 15"/>
        <xdr:cNvPicPr>
          <a:picLocks noChangeAspect="1"/>
        </xdr:cNvPicPr>
      </xdr:nvPicPr>
      <xdr:blipFill>
        <a:blip xmlns:r="http://schemas.openxmlformats.org/officeDocument/2006/relationships" r:embed="rId71"/>
        <a:stretch>
          <a:fillRect/>
        </a:stretch>
      </xdr:blipFill>
      <xdr:spPr>
        <a:xfrm>
          <a:off x="2367145" y="141533773"/>
          <a:ext cx="1000000" cy="304762"/>
        </a:xfrm>
        <a:prstGeom prst="rect">
          <a:avLst/>
        </a:prstGeom>
        <a:ln>
          <a:prstDash val="solid"/>
        </a:ln>
      </xdr:spPr>
    </xdr:pic>
    <xdr:clientData/>
  </xdr:twoCellAnchor>
  <xdr:twoCellAnchor editAs="oneCell">
    <xdr:from>
      <xdr:col>1</xdr:col>
      <xdr:colOff>1401379</xdr:colOff>
      <xdr:row>280</xdr:row>
      <xdr:rowOff>361293</xdr:rowOff>
    </xdr:from>
    <xdr:to>
      <xdr:col>1</xdr:col>
      <xdr:colOff>2106141</xdr:colOff>
      <xdr:row>280</xdr:row>
      <xdr:rowOff>656531</xdr:rowOff>
    </xdr:to>
    <xdr:pic>
      <xdr:nvPicPr>
        <xdr:cNvPr id="17" name="Picture 16"/>
        <xdr:cNvPicPr>
          <a:picLocks noChangeAspect="1"/>
        </xdr:cNvPicPr>
      </xdr:nvPicPr>
      <xdr:blipFill>
        <a:blip xmlns:r="http://schemas.openxmlformats.org/officeDocument/2006/relationships" r:embed="rId72"/>
        <a:stretch>
          <a:fillRect/>
        </a:stretch>
      </xdr:blipFill>
      <xdr:spPr>
        <a:xfrm>
          <a:off x="2419569" y="134915603"/>
          <a:ext cx="704762" cy="295238"/>
        </a:xfrm>
        <a:prstGeom prst="rect">
          <a:avLst/>
        </a:prstGeom>
        <a:ln>
          <a:prstDash val="solid"/>
        </a:ln>
      </xdr:spPr>
    </xdr:pic>
    <xdr:clientData/>
  </xdr:twoCellAnchor>
  <xdr:twoCellAnchor editAs="oneCell">
    <xdr:from>
      <xdr:col>1</xdr:col>
      <xdr:colOff>1160518</xdr:colOff>
      <xdr:row>283</xdr:row>
      <xdr:rowOff>361293</xdr:rowOff>
    </xdr:from>
    <xdr:to>
      <xdr:col>1</xdr:col>
      <xdr:colOff>1368534</xdr:colOff>
      <xdr:row>283</xdr:row>
      <xdr:rowOff>658459</xdr:rowOff>
    </xdr:to>
    <xdr:pic>
      <xdr:nvPicPr>
        <xdr:cNvPr id="18" name="Picture 17"/>
        <xdr:cNvPicPr>
          <a:picLocks noChangeAspect="1"/>
        </xdr:cNvPicPr>
      </xdr:nvPicPr>
      <xdr:blipFill>
        <a:blip xmlns:r="http://schemas.openxmlformats.org/officeDocument/2006/relationships" r:embed="rId73"/>
        <a:stretch>
          <a:fillRect/>
        </a:stretch>
      </xdr:blipFill>
      <xdr:spPr>
        <a:xfrm>
          <a:off x="2178708" y="137313276"/>
          <a:ext cx="208016" cy="297166"/>
        </a:xfrm>
        <a:prstGeom prst="rect">
          <a:avLst/>
        </a:prstGeom>
        <a:ln>
          <a:prstDash val="solid"/>
        </a:ln>
      </xdr:spPr>
    </xdr:pic>
    <xdr:clientData/>
  </xdr:twoCellAnchor>
  <xdr:twoCellAnchor editAs="oneCell">
    <xdr:from>
      <xdr:col>1</xdr:col>
      <xdr:colOff>1806466</xdr:colOff>
      <xdr:row>284</xdr:row>
      <xdr:rowOff>262759</xdr:rowOff>
    </xdr:from>
    <xdr:to>
      <xdr:col>1</xdr:col>
      <xdr:colOff>2215990</xdr:colOff>
      <xdr:row>284</xdr:row>
      <xdr:rowOff>538949</xdr:rowOff>
    </xdr:to>
    <xdr:pic>
      <xdr:nvPicPr>
        <xdr:cNvPr id="19" name="Picture 18"/>
        <xdr:cNvPicPr>
          <a:picLocks noChangeAspect="1"/>
        </xdr:cNvPicPr>
      </xdr:nvPicPr>
      <xdr:blipFill>
        <a:blip xmlns:r="http://schemas.openxmlformats.org/officeDocument/2006/relationships" r:embed="rId74"/>
        <a:stretch>
          <a:fillRect/>
        </a:stretch>
      </xdr:blipFill>
      <xdr:spPr>
        <a:xfrm>
          <a:off x="2824656" y="137926380"/>
          <a:ext cx="409524" cy="276190"/>
        </a:xfrm>
        <a:prstGeom prst="rect">
          <a:avLst/>
        </a:prstGeom>
        <a:ln>
          <a:prstDash val="solid"/>
        </a:ln>
      </xdr:spPr>
    </xdr:pic>
    <xdr:clientData/>
  </xdr:twoCellAnchor>
  <xdr:twoCellAnchor editAs="oneCell">
    <xdr:from>
      <xdr:col>1</xdr:col>
      <xdr:colOff>492672</xdr:colOff>
      <xdr:row>286</xdr:row>
      <xdr:rowOff>131379</xdr:rowOff>
    </xdr:from>
    <xdr:to>
      <xdr:col>1</xdr:col>
      <xdr:colOff>911720</xdr:colOff>
      <xdr:row>286</xdr:row>
      <xdr:rowOff>426617</xdr:rowOff>
    </xdr:to>
    <xdr:pic>
      <xdr:nvPicPr>
        <xdr:cNvPr id="248" name="Picture 247"/>
        <xdr:cNvPicPr>
          <a:picLocks noChangeAspect="1"/>
        </xdr:cNvPicPr>
      </xdr:nvPicPr>
      <xdr:blipFill>
        <a:blip xmlns:r="http://schemas.openxmlformats.org/officeDocument/2006/relationships" r:embed="rId75"/>
        <a:stretch>
          <a:fillRect/>
        </a:stretch>
      </xdr:blipFill>
      <xdr:spPr>
        <a:xfrm>
          <a:off x="1510862" y="139086896"/>
          <a:ext cx="419048" cy="295238"/>
        </a:xfrm>
        <a:prstGeom prst="rect">
          <a:avLst/>
        </a:prstGeom>
        <a:ln>
          <a:prstDash val="solid"/>
        </a:ln>
      </xdr:spPr>
    </xdr:pic>
    <xdr:clientData/>
  </xdr:twoCellAnchor>
  <xdr:twoCellAnchor editAs="oneCell">
    <xdr:from>
      <xdr:col>1</xdr:col>
      <xdr:colOff>744483</xdr:colOff>
      <xdr:row>289</xdr:row>
      <xdr:rowOff>492672</xdr:rowOff>
    </xdr:from>
    <xdr:to>
      <xdr:col>1</xdr:col>
      <xdr:colOff>985345</xdr:colOff>
      <xdr:row>289</xdr:row>
      <xdr:rowOff>767942</xdr:rowOff>
    </xdr:to>
    <xdr:pic>
      <xdr:nvPicPr>
        <xdr:cNvPr id="250" name="Picture 249"/>
        <xdr:cNvPicPr>
          <a:picLocks noChangeAspect="1"/>
        </xdr:cNvPicPr>
      </xdr:nvPicPr>
      <xdr:blipFill>
        <a:blip xmlns:r="http://schemas.openxmlformats.org/officeDocument/2006/relationships" r:embed="rId76"/>
        <a:stretch>
          <a:fillRect/>
        </a:stretch>
      </xdr:blipFill>
      <xdr:spPr>
        <a:xfrm>
          <a:off x="1762673" y="140455431"/>
          <a:ext cx="240862" cy="275270"/>
        </a:xfrm>
        <a:prstGeom prst="rect">
          <a:avLst/>
        </a:prstGeom>
        <a:ln>
          <a:prstDash val="solid"/>
        </a:ln>
      </xdr:spPr>
    </xdr:pic>
    <xdr:clientData/>
  </xdr:twoCellAnchor>
  <xdr:twoCellAnchor editAs="oneCell">
    <xdr:from>
      <xdr:col>1</xdr:col>
      <xdr:colOff>1072930</xdr:colOff>
      <xdr:row>292</xdr:row>
      <xdr:rowOff>361292</xdr:rowOff>
    </xdr:from>
    <xdr:to>
      <xdr:col>1</xdr:col>
      <xdr:colOff>1301351</xdr:colOff>
      <xdr:row>292</xdr:row>
      <xdr:rowOff>656895</xdr:rowOff>
    </xdr:to>
    <xdr:pic>
      <xdr:nvPicPr>
        <xdr:cNvPr id="252" name="Picture 251"/>
        <xdr:cNvPicPr>
          <a:picLocks noChangeAspect="1"/>
        </xdr:cNvPicPr>
      </xdr:nvPicPr>
      <xdr:blipFill>
        <a:blip xmlns:r="http://schemas.openxmlformats.org/officeDocument/2006/relationships" r:embed="rId77"/>
        <a:stretch>
          <a:fillRect/>
        </a:stretch>
      </xdr:blipFill>
      <xdr:spPr>
        <a:xfrm>
          <a:off x="2091120" y="141758275"/>
          <a:ext cx="228421" cy="295603"/>
        </a:xfrm>
        <a:prstGeom prst="rect">
          <a:avLst/>
        </a:prstGeom>
        <a:ln>
          <a:prstDash val="solid"/>
        </a:ln>
      </xdr:spPr>
    </xdr:pic>
    <xdr:clientData/>
  </xdr:twoCellAnchor>
  <xdr:twoCellAnchor editAs="oneCell">
    <xdr:from>
      <xdr:col>1</xdr:col>
      <xdr:colOff>689741</xdr:colOff>
      <xdr:row>295</xdr:row>
      <xdr:rowOff>295604</xdr:rowOff>
    </xdr:from>
    <xdr:to>
      <xdr:col>1</xdr:col>
      <xdr:colOff>957366</xdr:colOff>
      <xdr:row>295</xdr:row>
      <xdr:rowOff>514570</xdr:rowOff>
    </xdr:to>
    <xdr:pic>
      <xdr:nvPicPr>
        <xdr:cNvPr id="254" name="Picture 253"/>
        <xdr:cNvPicPr>
          <a:picLocks noChangeAspect="1"/>
        </xdr:cNvPicPr>
      </xdr:nvPicPr>
      <xdr:blipFill>
        <a:blip xmlns:r="http://schemas.openxmlformats.org/officeDocument/2006/relationships" r:embed="rId78"/>
        <a:stretch>
          <a:fillRect/>
        </a:stretch>
      </xdr:blipFill>
      <xdr:spPr>
        <a:xfrm>
          <a:off x="1707931" y="142885949"/>
          <a:ext cx="267625" cy="218966"/>
        </a:xfrm>
        <a:prstGeom prst="rect">
          <a:avLst/>
        </a:prstGeom>
        <a:ln>
          <a:prstDash val="solid"/>
        </a:ln>
      </xdr:spPr>
    </xdr:pic>
    <xdr:clientData/>
  </xdr:twoCellAnchor>
  <xdr:twoCellAnchor editAs="oneCell">
    <xdr:from>
      <xdr:col>1</xdr:col>
      <xdr:colOff>1127673</xdr:colOff>
      <xdr:row>298</xdr:row>
      <xdr:rowOff>328448</xdr:rowOff>
    </xdr:from>
    <xdr:to>
      <xdr:col>1</xdr:col>
      <xdr:colOff>1432765</xdr:colOff>
      <xdr:row>298</xdr:row>
      <xdr:rowOff>536465</xdr:rowOff>
    </xdr:to>
    <xdr:pic>
      <xdr:nvPicPr>
        <xdr:cNvPr id="255" name="Picture 254"/>
        <xdr:cNvPicPr>
          <a:picLocks noChangeAspect="1"/>
        </xdr:cNvPicPr>
      </xdr:nvPicPr>
      <xdr:blipFill>
        <a:blip xmlns:r="http://schemas.openxmlformats.org/officeDocument/2006/relationships" r:embed="rId79"/>
        <a:stretch>
          <a:fillRect/>
        </a:stretch>
      </xdr:blipFill>
      <xdr:spPr>
        <a:xfrm>
          <a:off x="2145863" y="143947931"/>
          <a:ext cx="305092" cy="208017"/>
        </a:xfrm>
        <a:prstGeom prst="rect">
          <a:avLst/>
        </a:prstGeom>
        <a:ln>
          <a:prstDash val="solid"/>
        </a:ln>
      </xdr:spPr>
    </xdr:pic>
    <xdr:clientData/>
  </xdr:twoCellAnchor>
  <xdr:twoCellAnchor editAs="oneCell">
    <xdr:from>
      <xdr:col>1</xdr:col>
      <xdr:colOff>1204309</xdr:colOff>
      <xdr:row>307</xdr:row>
      <xdr:rowOff>372240</xdr:rowOff>
    </xdr:from>
    <xdr:to>
      <xdr:col>1</xdr:col>
      <xdr:colOff>1434223</xdr:colOff>
      <xdr:row>307</xdr:row>
      <xdr:rowOff>656251</xdr:rowOff>
    </xdr:to>
    <xdr:pic>
      <xdr:nvPicPr>
        <xdr:cNvPr id="260" name="Picture 259"/>
        <xdr:cNvPicPr>
          <a:picLocks noChangeAspect="1"/>
        </xdr:cNvPicPr>
      </xdr:nvPicPr>
      <xdr:blipFill>
        <a:blip xmlns:r="http://schemas.openxmlformats.org/officeDocument/2006/relationships" r:embed="rId80"/>
        <a:stretch>
          <a:fillRect/>
        </a:stretch>
      </xdr:blipFill>
      <xdr:spPr>
        <a:xfrm>
          <a:off x="2222499" y="145732499"/>
          <a:ext cx="229914" cy="284011"/>
        </a:xfrm>
        <a:prstGeom prst="rect">
          <a:avLst/>
        </a:prstGeom>
        <a:ln>
          <a:prstDash val="solid"/>
        </a:ln>
      </xdr:spPr>
    </xdr:pic>
    <xdr:clientData/>
  </xdr:twoCellAnchor>
  <xdr:twoCellAnchor editAs="oneCell">
    <xdr:from>
      <xdr:col>1</xdr:col>
      <xdr:colOff>2036379</xdr:colOff>
      <xdr:row>302</xdr:row>
      <xdr:rowOff>372242</xdr:rowOff>
    </xdr:from>
    <xdr:to>
      <xdr:col>1</xdr:col>
      <xdr:colOff>2254193</xdr:colOff>
      <xdr:row>302</xdr:row>
      <xdr:rowOff>602156</xdr:rowOff>
    </xdr:to>
    <xdr:pic>
      <xdr:nvPicPr>
        <xdr:cNvPr id="282" name="Picture 281"/>
        <xdr:cNvPicPr>
          <a:picLocks noChangeAspect="1"/>
        </xdr:cNvPicPr>
      </xdr:nvPicPr>
      <xdr:blipFill>
        <a:blip xmlns:r="http://schemas.openxmlformats.org/officeDocument/2006/relationships" r:embed="rId81"/>
        <a:stretch>
          <a:fillRect/>
        </a:stretch>
      </xdr:blipFill>
      <xdr:spPr>
        <a:xfrm>
          <a:off x="3054569" y="147670345"/>
          <a:ext cx="217814" cy="229914"/>
        </a:xfrm>
        <a:prstGeom prst="rect">
          <a:avLst/>
        </a:prstGeom>
        <a:ln>
          <a:prstDash val="solid"/>
        </a:ln>
      </xdr:spPr>
    </xdr:pic>
    <xdr:clientData/>
  </xdr:twoCellAnchor>
  <xdr:twoCellAnchor editAs="oneCell">
    <xdr:from>
      <xdr:col>1</xdr:col>
      <xdr:colOff>1363898</xdr:colOff>
      <xdr:row>303</xdr:row>
      <xdr:rowOff>525517</xdr:rowOff>
    </xdr:from>
    <xdr:to>
      <xdr:col>1</xdr:col>
      <xdr:colOff>1571916</xdr:colOff>
      <xdr:row>303</xdr:row>
      <xdr:rowOff>733535</xdr:rowOff>
    </xdr:to>
    <xdr:pic>
      <xdr:nvPicPr>
        <xdr:cNvPr id="283" name="Picture 282"/>
        <xdr:cNvPicPr>
          <a:picLocks noChangeAspect="1"/>
        </xdr:cNvPicPr>
      </xdr:nvPicPr>
      <xdr:blipFill>
        <a:blip xmlns:r="http://schemas.openxmlformats.org/officeDocument/2006/relationships" r:embed="rId82"/>
        <a:stretch>
          <a:fillRect/>
        </a:stretch>
      </xdr:blipFill>
      <xdr:spPr>
        <a:xfrm>
          <a:off x="2383633" y="152959135"/>
          <a:ext cx="208018" cy="208018"/>
        </a:xfrm>
        <a:prstGeom prst="rect">
          <a:avLst/>
        </a:prstGeom>
        <a:ln>
          <a:prstDash val="solid"/>
        </a:ln>
      </xdr:spPr>
    </xdr:pic>
    <xdr:clientData/>
  </xdr:twoCellAnchor>
  <xdr:twoCellAnchor editAs="oneCell">
    <xdr:from>
      <xdr:col>1</xdr:col>
      <xdr:colOff>1412327</xdr:colOff>
      <xdr:row>311</xdr:row>
      <xdr:rowOff>350345</xdr:rowOff>
    </xdr:from>
    <xdr:to>
      <xdr:col>1</xdr:col>
      <xdr:colOff>1643457</xdr:colOff>
      <xdr:row>311</xdr:row>
      <xdr:rowOff>569311</xdr:rowOff>
    </xdr:to>
    <xdr:pic>
      <xdr:nvPicPr>
        <xdr:cNvPr id="286" name="Picture 285"/>
        <xdr:cNvPicPr>
          <a:picLocks noChangeAspect="1"/>
        </xdr:cNvPicPr>
      </xdr:nvPicPr>
      <xdr:blipFill>
        <a:blip xmlns:r="http://schemas.openxmlformats.org/officeDocument/2006/relationships" r:embed="rId83"/>
        <a:stretch>
          <a:fillRect/>
        </a:stretch>
      </xdr:blipFill>
      <xdr:spPr>
        <a:xfrm>
          <a:off x="2430517" y="150768707"/>
          <a:ext cx="231130" cy="218966"/>
        </a:xfrm>
        <a:prstGeom prst="rect">
          <a:avLst/>
        </a:prstGeom>
        <a:ln>
          <a:prstDash val="solid"/>
        </a:ln>
      </xdr:spPr>
    </xdr:pic>
    <xdr:clientData/>
  </xdr:twoCellAnchor>
  <xdr:twoCellAnchor editAs="oneCell">
    <xdr:from>
      <xdr:col>1</xdr:col>
      <xdr:colOff>1324742</xdr:colOff>
      <xdr:row>319</xdr:row>
      <xdr:rowOff>317499</xdr:rowOff>
    </xdr:from>
    <xdr:to>
      <xdr:col>1</xdr:col>
      <xdr:colOff>1543707</xdr:colOff>
      <xdr:row>319</xdr:row>
      <xdr:rowOff>585122</xdr:rowOff>
    </xdr:to>
    <xdr:pic>
      <xdr:nvPicPr>
        <xdr:cNvPr id="289" name="Picture 288"/>
        <xdr:cNvPicPr>
          <a:picLocks noChangeAspect="1"/>
        </xdr:cNvPicPr>
      </xdr:nvPicPr>
      <xdr:blipFill>
        <a:blip xmlns:r="http://schemas.openxmlformats.org/officeDocument/2006/relationships" r:embed="rId84"/>
        <a:stretch>
          <a:fillRect/>
        </a:stretch>
      </xdr:blipFill>
      <xdr:spPr>
        <a:xfrm>
          <a:off x="2342932" y="153878016"/>
          <a:ext cx="218965" cy="267623"/>
        </a:xfrm>
        <a:prstGeom prst="rect">
          <a:avLst/>
        </a:prstGeom>
        <a:ln>
          <a:prstDash val="solid"/>
        </a:ln>
      </xdr:spPr>
    </xdr:pic>
    <xdr:clientData/>
  </xdr:twoCellAnchor>
  <xdr:twoCellAnchor editAs="oneCell">
    <xdr:from>
      <xdr:col>1</xdr:col>
      <xdr:colOff>1488965</xdr:colOff>
      <xdr:row>328</xdr:row>
      <xdr:rowOff>153276</xdr:rowOff>
    </xdr:from>
    <xdr:to>
      <xdr:col>1</xdr:col>
      <xdr:colOff>1696982</xdr:colOff>
      <xdr:row>328</xdr:row>
      <xdr:rowOff>430632</xdr:rowOff>
    </xdr:to>
    <xdr:pic>
      <xdr:nvPicPr>
        <xdr:cNvPr id="292" name="Picture 291"/>
        <xdr:cNvPicPr>
          <a:picLocks noChangeAspect="1"/>
        </xdr:cNvPicPr>
      </xdr:nvPicPr>
      <xdr:blipFill>
        <a:blip xmlns:r="http://schemas.openxmlformats.org/officeDocument/2006/relationships" r:embed="rId85"/>
        <a:stretch>
          <a:fillRect/>
        </a:stretch>
      </xdr:blipFill>
      <xdr:spPr>
        <a:xfrm>
          <a:off x="2507155" y="158958017"/>
          <a:ext cx="208017" cy="277356"/>
        </a:xfrm>
        <a:prstGeom prst="rect">
          <a:avLst/>
        </a:prstGeom>
        <a:ln>
          <a:prstDash val="solid"/>
        </a:ln>
      </xdr:spPr>
    </xdr:pic>
    <xdr:clientData/>
  </xdr:twoCellAnchor>
  <xdr:twoCellAnchor editAs="oneCell">
    <xdr:from>
      <xdr:col>1</xdr:col>
      <xdr:colOff>1456120</xdr:colOff>
      <xdr:row>329</xdr:row>
      <xdr:rowOff>109482</xdr:rowOff>
    </xdr:from>
    <xdr:to>
      <xdr:col>1</xdr:col>
      <xdr:colOff>1696982</xdr:colOff>
      <xdr:row>329</xdr:row>
      <xdr:rowOff>363021</xdr:rowOff>
    </xdr:to>
    <xdr:pic>
      <xdr:nvPicPr>
        <xdr:cNvPr id="293" name="Picture 292"/>
        <xdr:cNvPicPr>
          <a:picLocks noChangeAspect="1"/>
        </xdr:cNvPicPr>
      </xdr:nvPicPr>
      <xdr:blipFill>
        <a:blip xmlns:r="http://schemas.openxmlformats.org/officeDocument/2006/relationships" r:embed="rId86"/>
        <a:stretch>
          <a:fillRect/>
        </a:stretch>
      </xdr:blipFill>
      <xdr:spPr>
        <a:xfrm>
          <a:off x="2474310" y="159395948"/>
          <a:ext cx="240862" cy="253539"/>
        </a:xfrm>
        <a:prstGeom prst="rect">
          <a:avLst/>
        </a:prstGeom>
        <a:ln>
          <a:prstDash val="solid"/>
        </a:ln>
      </xdr:spPr>
    </xdr:pic>
    <xdr:clientData/>
  </xdr:twoCellAnchor>
  <xdr:twoCellAnchor editAs="oneCell">
    <xdr:from>
      <xdr:col>1</xdr:col>
      <xdr:colOff>1532759</xdr:colOff>
      <xdr:row>368</xdr:row>
      <xdr:rowOff>383191</xdr:rowOff>
    </xdr:from>
    <xdr:to>
      <xdr:col>1</xdr:col>
      <xdr:colOff>1818473</xdr:colOff>
      <xdr:row>368</xdr:row>
      <xdr:rowOff>678429</xdr:rowOff>
    </xdr:to>
    <xdr:pic>
      <xdr:nvPicPr>
        <xdr:cNvPr id="298" name="Picture 297"/>
        <xdr:cNvPicPr>
          <a:picLocks noChangeAspect="1"/>
        </xdr:cNvPicPr>
      </xdr:nvPicPr>
      <xdr:blipFill>
        <a:blip xmlns:r="http://schemas.openxmlformats.org/officeDocument/2006/relationships" r:embed="rId87"/>
        <a:stretch>
          <a:fillRect/>
        </a:stretch>
      </xdr:blipFill>
      <xdr:spPr>
        <a:xfrm>
          <a:off x="2550949" y="170825950"/>
          <a:ext cx="285714" cy="295238"/>
        </a:xfrm>
        <a:prstGeom prst="rect">
          <a:avLst/>
        </a:prstGeom>
        <a:ln>
          <a:prstDash val="solid"/>
        </a:ln>
      </xdr:spPr>
    </xdr:pic>
    <xdr:clientData/>
  </xdr:twoCellAnchor>
  <xdr:twoCellAnchor editAs="oneCell">
    <xdr:from>
      <xdr:col>1</xdr:col>
      <xdr:colOff>1510862</xdr:colOff>
      <xdr:row>371</xdr:row>
      <xdr:rowOff>142327</xdr:rowOff>
    </xdr:from>
    <xdr:to>
      <xdr:col>1</xdr:col>
      <xdr:colOff>1768005</xdr:colOff>
      <xdr:row>371</xdr:row>
      <xdr:rowOff>399470</xdr:rowOff>
    </xdr:to>
    <xdr:pic>
      <xdr:nvPicPr>
        <xdr:cNvPr id="300" name="Picture 299"/>
        <xdr:cNvPicPr>
          <a:picLocks noChangeAspect="1"/>
        </xdr:cNvPicPr>
      </xdr:nvPicPr>
      <xdr:blipFill>
        <a:blip xmlns:r="http://schemas.openxmlformats.org/officeDocument/2006/relationships" r:embed="rId88"/>
        <a:stretch>
          <a:fillRect/>
        </a:stretch>
      </xdr:blipFill>
      <xdr:spPr>
        <a:xfrm>
          <a:off x="2529052" y="172052155"/>
          <a:ext cx="257143" cy="257143"/>
        </a:xfrm>
        <a:prstGeom prst="rect">
          <a:avLst/>
        </a:prstGeom>
        <a:ln>
          <a:prstDash val="solid"/>
        </a:ln>
      </xdr:spPr>
    </xdr:pic>
    <xdr:clientData/>
  </xdr:twoCellAnchor>
  <xdr:twoCellAnchor editAs="oneCell">
    <xdr:from>
      <xdr:col>1</xdr:col>
      <xdr:colOff>1445172</xdr:colOff>
      <xdr:row>387</xdr:row>
      <xdr:rowOff>197069</xdr:rowOff>
    </xdr:from>
    <xdr:to>
      <xdr:col>1</xdr:col>
      <xdr:colOff>1839310</xdr:colOff>
      <xdr:row>387</xdr:row>
      <xdr:rowOff>553065</xdr:rowOff>
    </xdr:to>
    <xdr:pic>
      <xdr:nvPicPr>
        <xdr:cNvPr id="302" name="Picture 301"/>
        <xdr:cNvPicPr>
          <a:picLocks noChangeAspect="1"/>
        </xdr:cNvPicPr>
      </xdr:nvPicPr>
      <xdr:blipFill>
        <a:blip xmlns:r="http://schemas.openxmlformats.org/officeDocument/2006/relationships" r:embed="rId89"/>
        <a:stretch>
          <a:fillRect/>
        </a:stretch>
      </xdr:blipFill>
      <xdr:spPr>
        <a:xfrm>
          <a:off x="2463362" y="178763448"/>
          <a:ext cx="394138" cy="355996"/>
        </a:xfrm>
        <a:prstGeom prst="rect">
          <a:avLst/>
        </a:prstGeom>
        <a:ln>
          <a:prstDash val="solid"/>
        </a:ln>
      </xdr:spPr>
    </xdr:pic>
    <xdr:clientData/>
  </xdr:twoCellAnchor>
  <xdr:twoCellAnchor editAs="oneCell">
    <xdr:from>
      <xdr:col>1</xdr:col>
      <xdr:colOff>1138620</xdr:colOff>
      <xdr:row>391</xdr:row>
      <xdr:rowOff>153276</xdr:rowOff>
    </xdr:from>
    <xdr:to>
      <xdr:col>1</xdr:col>
      <xdr:colOff>1405287</xdr:colOff>
      <xdr:row>391</xdr:row>
      <xdr:rowOff>400895</xdr:rowOff>
    </xdr:to>
    <xdr:pic>
      <xdr:nvPicPr>
        <xdr:cNvPr id="303" name="Picture 302"/>
        <xdr:cNvPicPr>
          <a:picLocks noChangeAspect="1"/>
        </xdr:cNvPicPr>
      </xdr:nvPicPr>
      <xdr:blipFill>
        <a:blip xmlns:r="http://schemas.openxmlformats.org/officeDocument/2006/relationships" r:embed="rId90"/>
        <a:stretch>
          <a:fillRect/>
        </a:stretch>
      </xdr:blipFill>
      <xdr:spPr>
        <a:xfrm>
          <a:off x="2156810" y="179672155"/>
          <a:ext cx="266667" cy="247619"/>
        </a:xfrm>
        <a:prstGeom prst="rect">
          <a:avLst/>
        </a:prstGeom>
        <a:ln>
          <a:prstDash val="solid"/>
        </a:ln>
      </xdr:spPr>
    </xdr:pic>
    <xdr:clientData/>
  </xdr:twoCellAnchor>
  <xdr:twoCellAnchor editAs="oneCell">
    <xdr:from>
      <xdr:col>1</xdr:col>
      <xdr:colOff>1072931</xdr:colOff>
      <xdr:row>390</xdr:row>
      <xdr:rowOff>120431</xdr:rowOff>
    </xdr:from>
    <xdr:to>
      <xdr:col>1</xdr:col>
      <xdr:colOff>1330074</xdr:colOff>
      <xdr:row>390</xdr:row>
      <xdr:rowOff>377574</xdr:rowOff>
    </xdr:to>
    <xdr:pic>
      <xdr:nvPicPr>
        <xdr:cNvPr id="305" name="Picture 304"/>
        <xdr:cNvPicPr>
          <a:picLocks noChangeAspect="1"/>
        </xdr:cNvPicPr>
      </xdr:nvPicPr>
      <xdr:blipFill>
        <a:blip xmlns:r="http://schemas.openxmlformats.org/officeDocument/2006/relationships" r:embed="rId91"/>
        <a:stretch>
          <a:fillRect/>
        </a:stretch>
      </xdr:blipFill>
      <xdr:spPr>
        <a:xfrm>
          <a:off x="2091121" y="180121034"/>
          <a:ext cx="257143" cy="257143"/>
        </a:xfrm>
        <a:prstGeom prst="rect">
          <a:avLst/>
        </a:prstGeom>
        <a:ln>
          <a:prstDash val="solid"/>
        </a:ln>
      </xdr:spPr>
    </xdr:pic>
    <xdr:clientData/>
  </xdr:twoCellAnchor>
  <xdr:twoCellAnchor editAs="oneCell">
    <xdr:from>
      <xdr:col>1</xdr:col>
      <xdr:colOff>1346638</xdr:colOff>
      <xdr:row>392</xdr:row>
      <xdr:rowOff>120431</xdr:rowOff>
    </xdr:from>
    <xdr:to>
      <xdr:col>1</xdr:col>
      <xdr:colOff>1632352</xdr:colOff>
      <xdr:row>392</xdr:row>
      <xdr:rowOff>387098</xdr:rowOff>
    </xdr:to>
    <xdr:pic>
      <xdr:nvPicPr>
        <xdr:cNvPr id="306" name="Picture 305"/>
        <xdr:cNvPicPr>
          <a:picLocks noChangeAspect="1"/>
        </xdr:cNvPicPr>
      </xdr:nvPicPr>
      <xdr:blipFill>
        <a:blip xmlns:r="http://schemas.openxmlformats.org/officeDocument/2006/relationships" r:embed="rId92"/>
        <a:stretch>
          <a:fillRect/>
        </a:stretch>
      </xdr:blipFill>
      <xdr:spPr>
        <a:xfrm>
          <a:off x="2364828" y="180602759"/>
          <a:ext cx="285714" cy="266667"/>
        </a:xfrm>
        <a:prstGeom prst="rect">
          <a:avLst/>
        </a:prstGeom>
        <a:ln>
          <a:prstDash val="solid"/>
        </a:ln>
      </xdr:spPr>
    </xdr:pic>
    <xdr:clientData/>
  </xdr:twoCellAnchor>
  <xdr:twoCellAnchor editAs="oneCell">
    <xdr:from>
      <xdr:col>1</xdr:col>
      <xdr:colOff>1368534</xdr:colOff>
      <xdr:row>393</xdr:row>
      <xdr:rowOff>142328</xdr:rowOff>
    </xdr:from>
    <xdr:to>
      <xdr:col>1</xdr:col>
      <xdr:colOff>1635201</xdr:colOff>
      <xdr:row>393</xdr:row>
      <xdr:rowOff>389947</xdr:rowOff>
    </xdr:to>
    <xdr:pic>
      <xdr:nvPicPr>
        <xdr:cNvPr id="307" name="Picture 306"/>
        <xdr:cNvPicPr>
          <a:picLocks noChangeAspect="1"/>
        </xdr:cNvPicPr>
      </xdr:nvPicPr>
      <xdr:blipFill>
        <a:blip xmlns:r="http://schemas.openxmlformats.org/officeDocument/2006/relationships" r:embed="rId93"/>
        <a:stretch>
          <a:fillRect/>
        </a:stretch>
      </xdr:blipFill>
      <xdr:spPr>
        <a:xfrm>
          <a:off x="2386724" y="181106380"/>
          <a:ext cx="266667" cy="247619"/>
        </a:xfrm>
        <a:prstGeom prst="rect">
          <a:avLst/>
        </a:prstGeom>
        <a:ln>
          <a:prstDash val="solid"/>
        </a:ln>
      </xdr:spPr>
    </xdr:pic>
    <xdr:clientData/>
  </xdr:twoCellAnchor>
  <xdr:twoCellAnchor editAs="oneCell">
    <xdr:from>
      <xdr:col>1</xdr:col>
      <xdr:colOff>843018</xdr:colOff>
      <xdr:row>395</xdr:row>
      <xdr:rowOff>142327</xdr:rowOff>
    </xdr:from>
    <xdr:to>
      <xdr:col>1</xdr:col>
      <xdr:colOff>1119208</xdr:colOff>
      <xdr:row>395</xdr:row>
      <xdr:rowOff>408994</xdr:rowOff>
    </xdr:to>
    <xdr:pic>
      <xdr:nvPicPr>
        <xdr:cNvPr id="308" name="Picture 307"/>
        <xdr:cNvPicPr>
          <a:picLocks noChangeAspect="1"/>
        </xdr:cNvPicPr>
      </xdr:nvPicPr>
      <xdr:blipFill>
        <a:blip xmlns:r="http://schemas.openxmlformats.org/officeDocument/2006/relationships" r:embed="rId94"/>
        <a:stretch>
          <a:fillRect/>
        </a:stretch>
      </xdr:blipFill>
      <xdr:spPr>
        <a:xfrm>
          <a:off x="1861208" y="182069827"/>
          <a:ext cx="276190" cy="266667"/>
        </a:xfrm>
        <a:prstGeom prst="rect">
          <a:avLst/>
        </a:prstGeom>
        <a:ln>
          <a:prstDash val="solid"/>
        </a:ln>
      </xdr:spPr>
    </xdr:pic>
    <xdr:clientData/>
  </xdr:twoCellAnchor>
  <xdr:twoCellAnchor editAs="oneCell">
    <xdr:from>
      <xdr:col>1</xdr:col>
      <xdr:colOff>1565602</xdr:colOff>
      <xdr:row>394</xdr:row>
      <xdr:rowOff>131379</xdr:rowOff>
    </xdr:from>
    <xdr:to>
      <xdr:col>1</xdr:col>
      <xdr:colOff>1841792</xdr:colOff>
      <xdr:row>394</xdr:row>
      <xdr:rowOff>407569</xdr:rowOff>
    </xdr:to>
    <xdr:pic>
      <xdr:nvPicPr>
        <xdr:cNvPr id="309" name="Picture 308"/>
        <xdr:cNvPicPr>
          <a:picLocks noChangeAspect="1"/>
        </xdr:cNvPicPr>
      </xdr:nvPicPr>
      <xdr:blipFill>
        <a:blip xmlns:r="http://schemas.openxmlformats.org/officeDocument/2006/relationships" r:embed="rId95"/>
        <a:stretch>
          <a:fillRect/>
        </a:stretch>
      </xdr:blipFill>
      <xdr:spPr>
        <a:xfrm>
          <a:off x="2583792" y="181577155"/>
          <a:ext cx="276190" cy="276190"/>
        </a:xfrm>
        <a:prstGeom prst="rect">
          <a:avLst/>
        </a:prstGeom>
        <a:ln>
          <a:prstDash val="solid"/>
        </a:ln>
      </xdr:spPr>
    </xdr:pic>
    <xdr:clientData/>
  </xdr:twoCellAnchor>
  <xdr:twoCellAnchor editAs="oneCell">
    <xdr:from>
      <xdr:col>1</xdr:col>
      <xdr:colOff>1445945</xdr:colOff>
      <xdr:row>396</xdr:row>
      <xdr:rowOff>243436</xdr:rowOff>
    </xdr:from>
    <xdr:to>
      <xdr:col>1</xdr:col>
      <xdr:colOff>1722135</xdr:colOff>
      <xdr:row>396</xdr:row>
      <xdr:rowOff>500579</xdr:rowOff>
    </xdr:to>
    <xdr:pic>
      <xdr:nvPicPr>
        <xdr:cNvPr id="310" name="Picture 309"/>
        <xdr:cNvPicPr>
          <a:picLocks noChangeAspect="1"/>
        </xdr:cNvPicPr>
      </xdr:nvPicPr>
      <xdr:blipFill>
        <a:blip xmlns:r="http://schemas.openxmlformats.org/officeDocument/2006/relationships" r:embed="rId96"/>
        <a:stretch>
          <a:fillRect/>
        </a:stretch>
      </xdr:blipFill>
      <xdr:spPr>
        <a:xfrm>
          <a:off x="2465680" y="190104701"/>
          <a:ext cx="276190" cy="257143"/>
        </a:xfrm>
        <a:prstGeom prst="rect">
          <a:avLst/>
        </a:prstGeom>
        <a:ln>
          <a:prstDash val="solid"/>
        </a:ln>
      </xdr:spPr>
    </xdr:pic>
    <xdr:clientData/>
  </xdr:twoCellAnchor>
  <xdr:twoCellAnchor editAs="oneCell">
    <xdr:from>
      <xdr:col>1</xdr:col>
      <xdr:colOff>1291897</xdr:colOff>
      <xdr:row>115</xdr:row>
      <xdr:rowOff>339397</xdr:rowOff>
    </xdr:from>
    <xdr:to>
      <xdr:col>1</xdr:col>
      <xdr:colOff>1482373</xdr:colOff>
      <xdr:row>115</xdr:row>
      <xdr:rowOff>539397</xdr:rowOff>
    </xdr:to>
    <xdr:pic>
      <xdr:nvPicPr>
        <xdr:cNvPr id="20" name="Picture 19"/>
        <xdr:cNvPicPr>
          <a:picLocks noChangeAspect="1"/>
        </xdr:cNvPicPr>
      </xdr:nvPicPr>
      <xdr:blipFill>
        <a:blip xmlns:r="http://schemas.openxmlformats.org/officeDocument/2006/relationships" r:embed="rId97"/>
        <a:stretch>
          <a:fillRect/>
        </a:stretch>
      </xdr:blipFill>
      <xdr:spPr>
        <a:xfrm>
          <a:off x="2310087" y="63302931"/>
          <a:ext cx="190476" cy="200000"/>
        </a:xfrm>
        <a:prstGeom prst="rect">
          <a:avLst/>
        </a:prstGeom>
        <a:ln>
          <a:prstDash val="solid"/>
        </a:ln>
      </xdr:spPr>
    </xdr:pic>
    <xdr:clientData/>
  </xdr:twoCellAnchor>
  <xdr:twoCellAnchor editAs="oneCell">
    <xdr:from>
      <xdr:col>1</xdr:col>
      <xdr:colOff>672353</xdr:colOff>
      <xdr:row>304</xdr:row>
      <xdr:rowOff>537882</xdr:rowOff>
    </xdr:from>
    <xdr:to>
      <xdr:col>1</xdr:col>
      <xdr:colOff>862853</xdr:colOff>
      <xdr:row>304</xdr:row>
      <xdr:rowOff>728382</xdr:rowOff>
    </xdr:to>
    <xdr:pic>
      <xdr:nvPicPr>
        <xdr:cNvPr id="21" name="Picture 20"/>
        <xdr:cNvPicPr>
          <a:picLocks noChangeAspect="1"/>
        </xdr:cNvPicPr>
      </xdr:nvPicPr>
      <xdr:blipFill>
        <a:blip xmlns:r="http://schemas.openxmlformats.org/officeDocument/2006/relationships" r:embed="rId98"/>
        <a:stretch>
          <a:fillRect/>
        </a:stretch>
      </xdr:blipFill>
      <xdr:spPr>
        <a:xfrm>
          <a:off x="1692088" y="153935206"/>
          <a:ext cx="190500" cy="190500"/>
        </a:xfrm>
        <a:prstGeom prst="rect">
          <a:avLst/>
        </a:prstGeom>
        <a:ln>
          <a:prstDash val="solid"/>
        </a:ln>
      </xdr:spPr>
    </xdr:pic>
    <xdr:clientData/>
  </xdr:twoCellAnchor>
  <xdr:twoCellAnchor editAs="oneCell">
    <xdr:from>
      <xdr:col>1</xdr:col>
      <xdr:colOff>1109382</xdr:colOff>
      <xdr:row>313</xdr:row>
      <xdr:rowOff>268941</xdr:rowOff>
    </xdr:from>
    <xdr:to>
      <xdr:col>1</xdr:col>
      <xdr:colOff>1299883</xdr:colOff>
      <xdr:row>313</xdr:row>
      <xdr:rowOff>472142</xdr:rowOff>
    </xdr:to>
    <xdr:pic>
      <xdr:nvPicPr>
        <xdr:cNvPr id="22" name="Picture 21"/>
        <xdr:cNvPicPr>
          <a:picLocks noChangeAspect="1"/>
        </xdr:cNvPicPr>
      </xdr:nvPicPr>
      <xdr:blipFill>
        <a:blip xmlns:r="http://schemas.openxmlformats.org/officeDocument/2006/relationships" r:embed="rId99"/>
        <a:stretch>
          <a:fillRect/>
        </a:stretch>
      </xdr:blipFill>
      <xdr:spPr>
        <a:xfrm>
          <a:off x="2129117" y="158350323"/>
          <a:ext cx="190501" cy="203201"/>
        </a:xfrm>
        <a:prstGeom prst="rect">
          <a:avLst/>
        </a:prstGeom>
        <a:ln>
          <a:prstDash val="solid"/>
        </a:ln>
      </xdr:spPr>
    </xdr:pic>
    <xdr:clientData/>
  </xdr:twoCellAnchor>
  <xdr:twoCellAnchor editAs="oneCell">
    <xdr:from>
      <xdr:col>1</xdr:col>
      <xdr:colOff>1120589</xdr:colOff>
      <xdr:row>312</xdr:row>
      <xdr:rowOff>280146</xdr:rowOff>
    </xdr:from>
    <xdr:to>
      <xdr:col>1</xdr:col>
      <xdr:colOff>1299883</xdr:colOff>
      <xdr:row>312</xdr:row>
      <xdr:rowOff>507251</xdr:rowOff>
    </xdr:to>
    <xdr:pic>
      <xdr:nvPicPr>
        <xdr:cNvPr id="23" name="Picture 22"/>
        <xdr:cNvPicPr>
          <a:picLocks noChangeAspect="1"/>
        </xdr:cNvPicPr>
      </xdr:nvPicPr>
      <xdr:blipFill>
        <a:blip xmlns:r="http://schemas.openxmlformats.org/officeDocument/2006/relationships" r:embed="rId100"/>
        <a:stretch>
          <a:fillRect/>
        </a:stretch>
      </xdr:blipFill>
      <xdr:spPr>
        <a:xfrm>
          <a:off x="2140324" y="157644352"/>
          <a:ext cx="179294" cy="227105"/>
        </a:xfrm>
        <a:prstGeom prst="rect">
          <a:avLst/>
        </a:prstGeom>
        <a:ln>
          <a:prstDash val="solid"/>
        </a:ln>
      </xdr:spPr>
    </xdr:pic>
    <xdr:clientData/>
  </xdr:twoCellAnchor>
  <xdr:twoCellAnchor editAs="oneCell">
    <xdr:from>
      <xdr:col>1</xdr:col>
      <xdr:colOff>1255059</xdr:colOff>
      <xdr:row>401</xdr:row>
      <xdr:rowOff>235323</xdr:rowOff>
    </xdr:from>
    <xdr:to>
      <xdr:col>1</xdr:col>
      <xdr:colOff>2016964</xdr:colOff>
      <xdr:row>401</xdr:row>
      <xdr:rowOff>521037</xdr:rowOff>
    </xdr:to>
    <xdr:pic>
      <xdr:nvPicPr>
        <xdr:cNvPr id="24" name="Picture 23"/>
        <xdr:cNvPicPr>
          <a:picLocks noChangeAspect="1"/>
        </xdr:cNvPicPr>
      </xdr:nvPicPr>
      <xdr:blipFill>
        <a:blip xmlns:r="http://schemas.openxmlformats.org/officeDocument/2006/relationships" r:embed="rId101"/>
        <a:stretch>
          <a:fillRect/>
        </a:stretch>
      </xdr:blipFill>
      <xdr:spPr>
        <a:xfrm>
          <a:off x="2274794" y="192472235"/>
          <a:ext cx="761905" cy="285714"/>
        </a:xfrm>
        <a:prstGeom prst="rect">
          <a:avLst/>
        </a:prstGeom>
        <a:ln>
          <a:prstDash val="solid"/>
        </a:ln>
      </xdr:spPr>
    </xdr:pic>
    <xdr:clientData/>
  </xdr:twoCellAnchor>
  <xdr:twoCellAnchor editAs="oneCell">
    <xdr:from>
      <xdr:col>1</xdr:col>
      <xdr:colOff>1277471</xdr:colOff>
      <xdr:row>402</xdr:row>
      <xdr:rowOff>246529</xdr:rowOff>
    </xdr:from>
    <xdr:to>
      <xdr:col>1</xdr:col>
      <xdr:colOff>1972709</xdr:colOff>
      <xdr:row>402</xdr:row>
      <xdr:rowOff>522719</xdr:rowOff>
    </xdr:to>
    <xdr:pic>
      <xdr:nvPicPr>
        <xdr:cNvPr id="25" name="Picture 24"/>
        <xdr:cNvPicPr>
          <a:picLocks noChangeAspect="1"/>
        </xdr:cNvPicPr>
      </xdr:nvPicPr>
      <xdr:blipFill>
        <a:blip xmlns:r="http://schemas.openxmlformats.org/officeDocument/2006/relationships" r:embed="rId102"/>
        <a:stretch>
          <a:fillRect/>
        </a:stretch>
      </xdr:blipFill>
      <xdr:spPr>
        <a:xfrm>
          <a:off x="2297206" y="193211823"/>
          <a:ext cx="695238" cy="276190"/>
        </a:xfrm>
        <a:prstGeom prst="rect">
          <a:avLst/>
        </a:prstGeom>
        <a:ln>
          <a:prstDash val="solid"/>
        </a:ln>
      </xdr:spPr>
    </xdr:pic>
    <xdr:clientData/>
  </xdr:twoCellAnchor>
  <xdr:twoCellAnchor editAs="oneCell">
    <xdr:from>
      <xdr:col>1</xdr:col>
      <xdr:colOff>1266265</xdr:colOff>
      <xdr:row>403</xdr:row>
      <xdr:rowOff>179295</xdr:rowOff>
    </xdr:from>
    <xdr:to>
      <xdr:col>1</xdr:col>
      <xdr:colOff>2094836</xdr:colOff>
      <xdr:row>403</xdr:row>
      <xdr:rowOff>484057</xdr:rowOff>
    </xdr:to>
    <xdr:pic>
      <xdr:nvPicPr>
        <xdr:cNvPr id="26" name="Picture 25"/>
        <xdr:cNvPicPr>
          <a:picLocks noChangeAspect="1"/>
        </xdr:cNvPicPr>
      </xdr:nvPicPr>
      <xdr:blipFill>
        <a:blip xmlns:r="http://schemas.openxmlformats.org/officeDocument/2006/relationships" r:embed="rId103"/>
        <a:stretch>
          <a:fillRect/>
        </a:stretch>
      </xdr:blipFill>
      <xdr:spPr>
        <a:xfrm>
          <a:off x="2286000" y="193929001"/>
          <a:ext cx="828571" cy="304762"/>
        </a:xfrm>
        <a:prstGeom prst="rect">
          <a:avLst/>
        </a:prstGeom>
        <a:ln>
          <a:prstDash val="solid"/>
        </a:ln>
      </xdr:spPr>
    </xdr:pic>
    <xdr:clientData/>
  </xdr:twoCellAnchor>
  <xdr:oneCellAnchor>
    <xdr:from>
      <xdr:col>1</xdr:col>
      <xdr:colOff>2069224</xdr:colOff>
      <xdr:row>244</xdr:row>
      <xdr:rowOff>175173</xdr:rowOff>
    </xdr:from>
    <xdr:ext cx="208017" cy="208017"/>
    <xdr:pic>
      <xdr:nvPicPr>
        <xdr:cNvPr id="259" name="Picture 258"/>
        <xdr:cNvPicPr>
          <a:picLocks noChangeAspect="1"/>
        </xdr:cNvPicPr>
      </xdr:nvPicPr>
      <xdr:blipFill>
        <a:blip xmlns:r="http://schemas.openxmlformats.org/officeDocument/2006/relationships" r:embed="rId59"/>
        <a:stretch>
          <a:fillRect/>
        </a:stretch>
      </xdr:blipFill>
      <xdr:spPr>
        <a:xfrm>
          <a:off x="3087414" y="116752414"/>
          <a:ext cx="208017" cy="208017"/>
        </a:xfrm>
        <a:prstGeom prst="rect">
          <a:avLst/>
        </a:prstGeom>
        <a:ln>
          <a:prstDash val="solid"/>
        </a:ln>
      </xdr:spPr>
    </xdr:pic>
    <xdr:clientData/>
  </xdr:oneCellAnchor>
  <xdr:oneCellAnchor>
    <xdr:from>
      <xdr:col>1</xdr:col>
      <xdr:colOff>1718880</xdr:colOff>
      <xdr:row>316</xdr:row>
      <xdr:rowOff>416035</xdr:rowOff>
    </xdr:from>
    <xdr:ext cx="231130" cy="218966"/>
    <xdr:pic>
      <xdr:nvPicPr>
        <xdr:cNvPr id="287" name="Picture 286"/>
        <xdr:cNvPicPr>
          <a:picLocks noChangeAspect="1"/>
        </xdr:cNvPicPr>
      </xdr:nvPicPr>
      <xdr:blipFill>
        <a:blip xmlns:r="http://schemas.openxmlformats.org/officeDocument/2006/relationships" r:embed="rId83"/>
        <a:stretch>
          <a:fillRect/>
        </a:stretch>
      </xdr:blipFill>
      <xdr:spPr>
        <a:xfrm>
          <a:off x="2737070" y="153834225"/>
          <a:ext cx="231130" cy="218966"/>
        </a:xfrm>
        <a:prstGeom prst="rect">
          <a:avLst/>
        </a:prstGeom>
        <a:ln>
          <a:prstDash val="solid"/>
        </a:ln>
      </xdr:spPr>
    </xdr:pic>
    <xdr:clientData/>
  </xdr:oneCellAnchor>
  <xdr:oneCellAnchor>
    <xdr:from>
      <xdr:col>1</xdr:col>
      <xdr:colOff>1255059</xdr:colOff>
      <xdr:row>407</xdr:row>
      <xdr:rowOff>235323</xdr:rowOff>
    </xdr:from>
    <xdr:ext cx="761905" cy="285714"/>
    <xdr:pic>
      <xdr:nvPicPr>
        <xdr:cNvPr id="119" name="Picture 118"/>
        <xdr:cNvPicPr>
          <a:picLocks noChangeAspect="1"/>
        </xdr:cNvPicPr>
      </xdr:nvPicPr>
      <xdr:blipFill>
        <a:blip xmlns:r="http://schemas.openxmlformats.org/officeDocument/2006/relationships" r:embed="rId101"/>
        <a:stretch>
          <a:fillRect/>
        </a:stretch>
      </xdr:blipFill>
      <xdr:spPr>
        <a:xfrm>
          <a:off x="2274794" y="192472235"/>
          <a:ext cx="761905" cy="285714"/>
        </a:xfrm>
        <a:prstGeom prst="rect">
          <a:avLst/>
        </a:prstGeom>
        <a:ln>
          <a:prstDash val="solid"/>
        </a:ln>
      </xdr:spPr>
    </xdr:pic>
    <xdr:clientData/>
  </xdr:oneCellAnchor>
  <xdr:oneCellAnchor>
    <xdr:from>
      <xdr:col>1</xdr:col>
      <xdr:colOff>1277471</xdr:colOff>
      <xdr:row>408</xdr:row>
      <xdr:rowOff>246529</xdr:rowOff>
    </xdr:from>
    <xdr:ext cx="695238" cy="276190"/>
    <xdr:pic>
      <xdr:nvPicPr>
        <xdr:cNvPr id="120" name="Picture 119"/>
        <xdr:cNvPicPr>
          <a:picLocks noChangeAspect="1"/>
        </xdr:cNvPicPr>
      </xdr:nvPicPr>
      <xdr:blipFill>
        <a:blip xmlns:r="http://schemas.openxmlformats.org/officeDocument/2006/relationships" r:embed="rId102"/>
        <a:stretch>
          <a:fillRect/>
        </a:stretch>
      </xdr:blipFill>
      <xdr:spPr>
        <a:xfrm>
          <a:off x="2297206" y="193211823"/>
          <a:ext cx="695238" cy="276190"/>
        </a:xfrm>
        <a:prstGeom prst="rect">
          <a:avLst/>
        </a:prstGeom>
        <a:ln>
          <a:prstDash val="solid"/>
        </a:ln>
      </xdr:spPr>
    </xdr:pic>
    <xdr:clientData/>
  </xdr:oneCellAnchor>
  <xdr:oneCellAnchor>
    <xdr:from>
      <xdr:col>1</xdr:col>
      <xdr:colOff>1266265</xdr:colOff>
      <xdr:row>409</xdr:row>
      <xdr:rowOff>179295</xdr:rowOff>
    </xdr:from>
    <xdr:ext cx="828571" cy="304762"/>
    <xdr:pic>
      <xdr:nvPicPr>
        <xdr:cNvPr id="121" name="Picture 120"/>
        <xdr:cNvPicPr>
          <a:picLocks noChangeAspect="1"/>
        </xdr:cNvPicPr>
      </xdr:nvPicPr>
      <xdr:blipFill>
        <a:blip xmlns:r="http://schemas.openxmlformats.org/officeDocument/2006/relationships" r:embed="rId103"/>
        <a:stretch>
          <a:fillRect/>
        </a:stretch>
      </xdr:blipFill>
      <xdr:spPr>
        <a:xfrm>
          <a:off x="2286000" y="193872971"/>
          <a:ext cx="828571" cy="304762"/>
        </a:xfrm>
        <a:prstGeom prst="rect">
          <a:avLst/>
        </a:prstGeom>
        <a:ln>
          <a:prstDash val="solid"/>
        </a:ln>
      </xdr:spPr>
    </xdr:pic>
    <xdr:clientData/>
  </xdr:oneCellAnchor>
  <xdr:oneCellAnchor>
    <xdr:from>
      <xdr:col>1</xdr:col>
      <xdr:colOff>1255059</xdr:colOff>
      <xdr:row>413</xdr:row>
      <xdr:rowOff>235323</xdr:rowOff>
    </xdr:from>
    <xdr:ext cx="761905" cy="285714"/>
    <xdr:pic>
      <xdr:nvPicPr>
        <xdr:cNvPr id="122" name="Picture 121"/>
        <xdr:cNvPicPr>
          <a:picLocks noChangeAspect="1"/>
        </xdr:cNvPicPr>
      </xdr:nvPicPr>
      <xdr:blipFill>
        <a:blip xmlns:r="http://schemas.openxmlformats.org/officeDocument/2006/relationships" r:embed="rId101"/>
        <a:stretch>
          <a:fillRect/>
        </a:stretch>
      </xdr:blipFill>
      <xdr:spPr>
        <a:xfrm>
          <a:off x="2274794" y="196069323"/>
          <a:ext cx="761905" cy="285714"/>
        </a:xfrm>
        <a:prstGeom prst="rect">
          <a:avLst/>
        </a:prstGeom>
        <a:ln>
          <a:prstDash val="solid"/>
        </a:ln>
      </xdr:spPr>
    </xdr:pic>
    <xdr:clientData/>
  </xdr:oneCellAnchor>
  <xdr:oneCellAnchor>
    <xdr:from>
      <xdr:col>1</xdr:col>
      <xdr:colOff>1266265</xdr:colOff>
      <xdr:row>414</xdr:row>
      <xdr:rowOff>179295</xdr:rowOff>
    </xdr:from>
    <xdr:ext cx="828571" cy="304762"/>
    <xdr:pic>
      <xdr:nvPicPr>
        <xdr:cNvPr id="124" name="Picture 123"/>
        <xdr:cNvPicPr>
          <a:picLocks noChangeAspect="1"/>
        </xdr:cNvPicPr>
      </xdr:nvPicPr>
      <xdr:blipFill>
        <a:blip xmlns:r="http://schemas.openxmlformats.org/officeDocument/2006/relationships" r:embed="rId103"/>
        <a:stretch>
          <a:fillRect/>
        </a:stretch>
      </xdr:blipFill>
      <xdr:spPr>
        <a:xfrm>
          <a:off x="2286000" y="197470060"/>
          <a:ext cx="828571" cy="304762"/>
        </a:xfrm>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9524</xdr:rowOff>
    </xdr:from>
    <xdr:to>
      <xdr:col>9</xdr:col>
      <xdr:colOff>472420</xdr:colOff>
      <xdr:row>7</xdr:row>
      <xdr:rowOff>190499</xdr:rowOff>
    </xdr:to>
    <xdr:pic>
      <xdr:nvPicPr>
        <xdr:cNvPr id="3" name="Picture 2"/>
        <xdr:cNvPicPr>
          <a:picLocks noChangeAspect="1"/>
        </xdr:cNvPicPr>
      </xdr:nvPicPr>
      <xdr:blipFill>
        <a:blip xmlns:r="http://schemas.openxmlformats.org/officeDocument/2006/relationships" r:embed="rId1"/>
        <a:stretch>
          <a:fillRect/>
        </a:stretch>
      </xdr:blipFill>
      <xdr:spPr>
        <a:xfrm>
          <a:off x="0" y="8890"/>
          <a:ext cx="5872480" cy="1514475"/>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truongtq@bagroup.vn/11111" TargetMode="External"/><Relationship Id="rId1" Type="http://schemas.openxmlformats.org/officeDocument/2006/relationships/hyperlink" Target="mailto:truongtq@bagroup.vn/atgmj12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24"/>
  <sheetViews>
    <sheetView tabSelected="1" zoomScale="85" zoomScaleNormal="85" workbookViewId="0">
      <selection activeCell="J15" sqref="J15"/>
    </sheetView>
  </sheetViews>
  <sheetFormatPr defaultColWidth="9.140625" defaultRowHeight="18.75"/>
  <cols>
    <col min="1" max="1" width="15.28515625" style="4" customWidth="1"/>
    <col min="2" max="2" width="35.42578125" style="4" customWidth="1"/>
    <col min="3" max="3" width="20.42578125" style="3" customWidth="1"/>
    <col min="4" max="4" width="57.5703125" style="5" customWidth="1"/>
    <col min="5" max="5" width="41.5703125" style="5" customWidth="1"/>
    <col min="6" max="6" width="36.85546875" style="92" customWidth="1"/>
    <col min="7" max="7" width="11.7109375" style="92" customWidth="1"/>
    <col min="8" max="11" width="9.140625" style="3" customWidth="1"/>
    <col min="12" max="12" width="11.140625" style="3" customWidth="1"/>
    <col min="13" max="13" width="21.7109375" style="92" customWidth="1"/>
    <col min="14" max="14" width="31.28515625" style="92" customWidth="1"/>
    <col min="15" max="15" width="14.7109375" style="92" customWidth="1"/>
    <col min="16" max="383" width="9.140625" style="92" customWidth="1"/>
    <col min="384" max="16384" width="9.140625" style="92"/>
  </cols>
  <sheetData>
    <row r="1" spans="1:22">
      <c r="A1" s="6"/>
      <c r="B1" s="7" t="s">
        <v>0</v>
      </c>
      <c r="C1" s="94"/>
      <c r="D1" s="8"/>
      <c r="E1" s="9"/>
      <c r="F1" s="6"/>
      <c r="G1" s="6"/>
      <c r="H1" s="10"/>
      <c r="I1" s="10"/>
      <c r="J1" s="10"/>
      <c r="K1" s="10"/>
      <c r="L1" s="24"/>
      <c r="M1" s="10"/>
      <c r="N1" s="10"/>
      <c r="O1" s="103"/>
      <c r="P1" s="99"/>
      <c r="Q1" s="99"/>
      <c r="R1" s="99"/>
      <c r="S1" s="99"/>
      <c r="T1" s="99"/>
      <c r="U1" s="99"/>
    </row>
    <row r="2" spans="1:22">
      <c r="A2" s="6"/>
      <c r="B2" s="6" t="s">
        <v>1</v>
      </c>
      <c r="C2" s="10"/>
      <c r="D2" s="9"/>
      <c r="E2" s="9"/>
      <c r="F2" s="6"/>
      <c r="G2" s="6">
        <v>1</v>
      </c>
      <c r="H2" s="10"/>
      <c r="I2" s="10"/>
      <c r="J2" s="10"/>
      <c r="K2" s="10"/>
      <c r="L2" s="24"/>
      <c r="M2" s="10"/>
      <c r="N2" s="10"/>
      <c r="O2" s="98"/>
      <c r="P2" s="99"/>
      <c r="Q2" s="99"/>
      <c r="R2" s="99"/>
      <c r="S2" s="99"/>
      <c r="T2" s="99"/>
      <c r="U2" s="99"/>
      <c r="V2" s="99"/>
    </row>
    <row r="3" spans="1:22">
      <c r="A3" s="6"/>
      <c r="B3" s="11" t="s">
        <v>2</v>
      </c>
      <c r="C3" s="93" t="s">
        <v>3</v>
      </c>
      <c r="D3" s="12" t="s">
        <v>4</v>
      </c>
      <c r="E3" s="12" t="s">
        <v>5</v>
      </c>
      <c r="F3" s="11"/>
      <c r="G3" s="11">
        <v>1</v>
      </c>
      <c r="H3" s="13"/>
      <c r="I3" s="13"/>
      <c r="J3" s="93"/>
      <c r="K3" s="93"/>
      <c r="L3" s="101" t="s">
        <v>6</v>
      </c>
      <c r="M3" s="102"/>
      <c r="N3" s="97"/>
      <c r="O3" s="98"/>
      <c r="P3" s="99"/>
      <c r="Q3" s="99"/>
      <c r="R3" s="99"/>
      <c r="S3" s="99"/>
      <c r="T3" s="99"/>
      <c r="U3" s="99"/>
      <c r="V3" s="99"/>
    </row>
    <row r="4" spans="1:22" ht="37.5" customHeight="1">
      <c r="A4" s="6"/>
      <c r="B4" s="6" t="s">
        <v>7</v>
      </c>
      <c r="C4" s="10">
        <f>COUNTIF(H:H,"x")</f>
        <v>113</v>
      </c>
      <c r="D4" s="14">
        <f>COUNTIFS(G:G,"Pass",H:H,"x")</f>
        <v>111</v>
      </c>
      <c r="E4" s="14">
        <f>COUNTIFS(G:G,"Fail",H:H,"x")</f>
        <v>2</v>
      </c>
      <c r="F4" s="6"/>
      <c r="G4" s="6">
        <v>1</v>
      </c>
      <c r="H4" s="13"/>
      <c r="I4" s="13"/>
      <c r="J4" s="10"/>
      <c r="K4" s="10"/>
      <c r="L4" s="93" t="s">
        <v>8</v>
      </c>
      <c r="M4" s="100" t="s">
        <v>9</v>
      </c>
      <c r="N4" s="97"/>
      <c r="O4" s="98"/>
      <c r="P4" s="99"/>
      <c r="Q4" s="99"/>
      <c r="R4" s="99"/>
      <c r="S4" s="99"/>
      <c r="T4" s="99"/>
      <c r="U4" s="99"/>
      <c r="V4" s="99"/>
    </row>
    <row r="5" spans="1:22">
      <c r="A5" s="6"/>
      <c r="B5" s="6" t="s">
        <v>10</v>
      </c>
      <c r="C5" s="10">
        <f>COUNTIF(I:I,"x")</f>
        <v>76</v>
      </c>
      <c r="D5" s="14">
        <f>COUNTIFS(G:G,"Pass",I:I,"x")</f>
        <v>76</v>
      </c>
      <c r="E5" s="14">
        <f>COUNTIFS(G:G,"Fail",I:I,"x")</f>
        <v>0</v>
      </c>
      <c r="F5" s="6"/>
      <c r="G5" s="6">
        <v>1</v>
      </c>
      <c r="H5" s="13"/>
      <c r="I5" s="13"/>
      <c r="J5" s="10"/>
      <c r="K5" s="10"/>
      <c r="L5" s="10">
        <v>1</v>
      </c>
      <c r="M5" s="96" t="s">
        <v>11</v>
      </c>
      <c r="N5" s="97"/>
      <c r="O5" s="98"/>
      <c r="P5" s="99"/>
      <c r="Q5" s="99"/>
      <c r="R5" s="99"/>
      <c r="S5" s="99"/>
      <c r="T5" s="99"/>
      <c r="U5" s="99"/>
      <c r="V5" s="99"/>
    </row>
    <row r="6" spans="1:22">
      <c r="A6" s="6"/>
      <c r="B6" s="6" t="s">
        <v>12</v>
      </c>
      <c r="C6" s="10">
        <f>COUNTIF(J:J,"x")</f>
        <v>52</v>
      </c>
      <c r="D6" s="14">
        <f>COUNTIFS(G:G,"Pass",J:J,"x")</f>
        <v>52</v>
      </c>
      <c r="E6" s="14">
        <f>COUNTIFS(G:G,"Fail",J:J,"x")</f>
        <v>0</v>
      </c>
      <c r="F6" s="6"/>
      <c r="G6" s="6">
        <v>1</v>
      </c>
      <c r="H6" s="13"/>
      <c r="I6" s="13"/>
      <c r="J6" s="10"/>
      <c r="K6" s="10"/>
      <c r="L6" s="10">
        <v>2</v>
      </c>
      <c r="M6" s="96" t="s">
        <v>11</v>
      </c>
      <c r="N6" s="97"/>
      <c r="O6" s="95"/>
    </row>
    <row r="7" spans="1:22">
      <c r="A7" s="6"/>
      <c r="B7" s="6" t="s">
        <v>13</v>
      </c>
      <c r="C7" s="10">
        <f>COUNTIF(K:K,"x")</f>
        <v>48</v>
      </c>
      <c r="D7" s="14">
        <f>COUNTIFS(G:G,"Pass",K:K,"x")</f>
        <v>47</v>
      </c>
      <c r="E7" s="14">
        <f>COUNTIFS(G:G,"Fail",K:K,"x")</f>
        <v>1</v>
      </c>
      <c r="F7" s="6"/>
      <c r="G7" s="6">
        <v>1</v>
      </c>
      <c r="H7" s="13"/>
      <c r="I7" s="13"/>
      <c r="J7" s="10"/>
      <c r="K7" s="10"/>
      <c r="L7" s="10">
        <v>3</v>
      </c>
      <c r="M7" s="96" t="s">
        <v>14</v>
      </c>
      <c r="N7" s="97"/>
      <c r="O7" s="95"/>
    </row>
    <row r="8" spans="1:22">
      <c r="A8" s="6"/>
      <c r="B8" s="6" t="s">
        <v>15</v>
      </c>
      <c r="C8" s="10">
        <f>COUNTIF(L:L,"x")</f>
        <v>6</v>
      </c>
      <c r="D8" s="14">
        <f>COUNTIFS(G:G,"Pass",L:L,"x")</f>
        <v>5</v>
      </c>
      <c r="E8" s="14">
        <f>COUNTIFS(G:G,"Fail",L:L,"x")</f>
        <v>0</v>
      </c>
      <c r="F8" s="6"/>
      <c r="G8" s="6">
        <v>1</v>
      </c>
      <c r="H8" s="13"/>
      <c r="I8" s="13"/>
      <c r="J8" s="10"/>
      <c r="K8" s="10"/>
      <c r="L8" s="24"/>
      <c r="M8" s="10"/>
      <c r="N8" s="10"/>
      <c r="O8" s="95"/>
    </row>
    <row r="9" spans="1:22" s="3" customFormat="1" ht="66" customHeight="1">
      <c r="A9" s="15" t="s">
        <v>16</v>
      </c>
      <c r="B9" s="15" t="s">
        <v>17</v>
      </c>
      <c r="C9" s="15" t="s">
        <v>18</v>
      </c>
      <c r="D9" s="15" t="s">
        <v>19</v>
      </c>
      <c r="E9" s="15" t="s">
        <v>20</v>
      </c>
      <c r="F9" s="15" t="s">
        <v>21</v>
      </c>
      <c r="G9" s="15" t="s">
        <v>22</v>
      </c>
      <c r="H9" s="15" t="s">
        <v>23</v>
      </c>
      <c r="I9" s="15" t="s">
        <v>24</v>
      </c>
      <c r="J9" s="15" t="s">
        <v>25</v>
      </c>
      <c r="K9" s="15" t="s">
        <v>26</v>
      </c>
      <c r="L9" s="39" t="s">
        <v>27</v>
      </c>
      <c r="M9" s="15" t="s">
        <v>28</v>
      </c>
      <c r="N9" s="15" t="s">
        <v>29</v>
      </c>
      <c r="O9" s="95"/>
    </row>
    <row r="10" spans="1:22">
      <c r="A10" s="16" t="s">
        <v>30</v>
      </c>
      <c r="B10" s="16"/>
      <c r="C10" s="17"/>
      <c r="D10" s="18"/>
      <c r="E10" s="19"/>
      <c r="F10" s="20"/>
      <c r="G10" s="20"/>
      <c r="H10" s="17"/>
      <c r="I10" s="17"/>
      <c r="J10" s="17"/>
      <c r="K10" s="17"/>
      <c r="L10" s="29"/>
      <c r="M10" s="17"/>
      <c r="N10" s="17"/>
      <c r="O10" s="95"/>
    </row>
    <row r="11" spans="1:22">
      <c r="A11" s="21" t="s">
        <v>31</v>
      </c>
      <c r="B11" s="22"/>
      <c r="C11" s="23"/>
      <c r="D11" s="80"/>
      <c r="E11" s="80"/>
      <c r="F11" s="22"/>
      <c r="G11" s="22"/>
      <c r="H11" s="23"/>
      <c r="I11" s="23"/>
      <c r="J11" s="23"/>
      <c r="K11" s="23"/>
      <c r="L11" s="28"/>
      <c r="M11" s="23"/>
      <c r="N11" s="23"/>
      <c r="O11" s="95"/>
    </row>
    <row r="12" spans="1:22" ht="75" customHeight="1">
      <c r="A12" s="6" t="s">
        <v>32</v>
      </c>
      <c r="B12" s="6" t="s">
        <v>33</v>
      </c>
      <c r="C12" s="58" t="s">
        <v>34</v>
      </c>
      <c r="D12" s="53" t="s">
        <v>35</v>
      </c>
      <c r="E12" s="9" t="s">
        <v>36</v>
      </c>
      <c r="F12" s="6" t="s">
        <v>37</v>
      </c>
      <c r="G12" s="24" t="s">
        <v>4</v>
      </c>
      <c r="H12" s="10" t="s">
        <v>38</v>
      </c>
      <c r="I12" s="10"/>
      <c r="J12" s="10"/>
      <c r="K12" s="10"/>
      <c r="L12" s="24" t="s">
        <v>38</v>
      </c>
      <c r="M12" s="10"/>
      <c r="N12" s="10"/>
    </row>
    <row r="13" spans="1:22" ht="37.5" customHeight="1">
      <c r="A13" s="6" t="s">
        <v>39</v>
      </c>
      <c r="B13" s="6" t="s">
        <v>40</v>
      </c>
      <c r="C13" s="26"/>
      <c r="D13" s="53" t="s">
        <v>35</v>
      </c>
      <c r="E13" s="9" t="s">
        <v>41</v>
      </c>
      <c r="F13" s="6"/>
      <c r="G13" s="24"/>
      <c r="H13" s="10"/>
      <c r="I13" s="10"/>
      <c r="J13" s="10"/>
      <c r="K13" s="10"/>
      <c r="L13" s="24"/>
      <c r="M13" s="10"/>
      <c r="N13" s="40" t="s">
        <v>42</v>
      </c>
    </row>
    <row r="14" spans="1:22" ht="62.25" customHeight="1">
      <c r="A14" s="6" t="s">
        <v>43</v>
      </c>
      <c r="B14" s="6" t="s">
        <v>44</v>
      </c>
      <c r="C14" s="47" t="s">
        <v>45</v>
      </c>
      <c r="D14" s="53" t="s">
        <v>35</v>
      </c>
      <c r="E14" s="9" t="s">
        <v>46</v>
      </c>
      <c r="F14" s="6" t="s">
        <v>47</v>
      </c>
      <c r="G14" s="24" t="s">
        <v>4</v>
      </c>
      <c r="H14" s="10" t="s">
        <v>38</v>
      </c>
      <c r="I14" s="10"/>
      <c r="J14" s="10"/>
      <c r="K14" s="10"/>
      <c r="L14" s="24" t="s">
        <v>38</v>
      </c>
      <c r="M14" s="10" t="s">
        <v>48</v>
      </c>
      <c r="N14" s="10"/>
    </row>
    <row r="15" spans="1:22" ht="62.25" customHeight="1">
      <c r="A15" s="6" t="s">
        <v>49</v>
      </c>
      <c r="B15" s="6" t="s">
        <v>50</v>
      </c>
      <c r="C15" s="47" t="s">
        <v>51</v>
      </c>
      <c r="D15" s="53" t="s">
        <v>35</v>
      </c>
      <c r="E15" s="9" t="s">
        <v>46</v>
      </c>
      <c r="F15" s="6" t="s">
        <v>47</v>
      </c>
      <c r="G15" s="24" t="s">
        <v>4</v>
      </c>
      <c r="H15" s="10" t="s">
        <v>38</v>
      </c>
      <c r="I15" s="10"/>
      <c r="J15" s="10"/>
      <c r="K15" s="10"/>
      <c r="L15" s="24"/>
      <c r="M15" s="10" t="s">
        <v>52</v>
      </c>
      <c r="N15" s="10"/>
    </row>
    <row r="16" spans="1:22" ht="62.25" customHeight="1">
      <c r="A16" s="6" t="s">
        <v>53</v>
      </c>
      <c r="B16" s="6" t="s">
        <v>54</v>
      </c>
      <c r="C16" s="47" t="s">
        <v>55</v>
      </c>
      <c r="D16" s="53" t="s">
        <v>35</v>
      </c>
      <c r="E16" s="9" t="s">
        <v>46</v>
      </c>
      <c r="F16" s="6" t="s">
        <v>47</v>
      </c>
      <c r="G16" s="24" t="s">
        <v>4</v>
      </c>
      <c r="H16" s="10" t="s">
        <v>38</v>
      </c>
      <c r="I16" s="10"/>
      <c r="J16" s="10"/>
      <c r="K16" s="10"/>
      <c r="L16" s="24"/>
      <c r="M16" s="10"/>
      <c r="N16" s="10"/>
    </row>
    <row r="17" spans="1:14" ht="56.25" customHeight="1">
      <c r="A17" s="6" t="s">
        <v>56</v>
      </c>
      <c r="B17" s="6" t="s">
        <v>57</v>
      </c>
      <c r="C17" s="47" t="s">
        <v>58</v>
      </c>
      <c r="D17" s="53" t="s">
        <v>35</v>
      </c>
      <c r="E17" s="9" t="s">
        <v>46</v>
      </c>
      <c r="F17" s="6" t="s">
        <v>47</v>
      </c>
      <c r="G17" s="24" t="s">
        <v>4</v>
      </c>
      <c r="H17" s="10" t="s">
        <v>38</v>
      </c>
      <c r="I17" s="10"/>
      <c r="J17" s="10"/>
      <c r="K17" s="10"/>
      <c r="L17" s="24"/>
      <c r="M17" s="10" t="s">
        <v>59</v>
      </c>
      <c r="N17" s="10"/>
    </row>
    <row r="18" spans="1:14" ht="75" customHeight="1">
      <c r="A18" s="6" t="s">
        <v>60</v>
      </c>
      <c r="B18" s="6" t="s">
        <v>61</v>
      </c>
      <c r="C18" s="47" t="s">
        <v>62</v>
      </c>
      <c r="D18" s="53" t="s">
        <v>35</v>
      </c>
      <c r="E18" s="9" t="s">
        <v>63</v>
      </c>
      <c r="F18" s="6"/>
      <c r="G18" s="24" t="s">
        <v>4</v>
      </c>
      <c r="H18" s="13"/>
      <c r="I18" s="10"/>
      <c r="J18" s="10"/>
      <c r="K18" s="10" t="s">
        <v>38</v>
      </c>
      <c r="L18" s="24" t="s">
        <v>38</v>
      </c>
      <c r="M18" s="10"/>
      <c r="N18" s="10"/>
    </row>
    <row r="19" spans="1:14" ht="75" customHeight="1">
      <c r="A19" s="6" t="s">
        <v>64</v>
      </c>
      <c r="B19" s="6" t="s">
        <v>65</v>
      </c>
      <c r="C19" s="50" t="s">
        <v>66</v>
      </c>
      <c r="D19" s="53" t="s">
        <v>35</v>
      </c>
      <c r="E19" s="9" t="s">
        <v>67</v>
      </c>
      <c r="F19" s="6"/>
      <c r="G19" s="24"/>
      <c r="H19" s="10"/>
      <c r="I19" s="10"/>
      <c r="J19" s="10"/>
      <c r="K19" s="10"/>
      <c r="L19" s="24" t="s">
        <v>38</v>
      </c>
      <c r="M19" s="10"/>
      <c r="N19" s="10"/>
    </row>
    <row r="20" spans="1:14" ht="96.75" customHeight="1">
      <c r="A20" s="6" t="s">
        <v>68</v>
      </c>
      <c r="B20" s="6" t="s">
        <v>69</v>
      </c>
      <c r="C20" s="64" t="s">
        <v>45</v>
      </c>
      <c r="D20" s="53" t="s">
        <v>70</v>
      </c>
      <c r="E20" s="9" t="s">
        <v>71</v>
      </c>
      <c r="F20" s="6"/>
      <c r="G20" s="24"/>
      <c r="H20" s="10"/>
      <c r="I20" s="10"/>
      <c r="J20" s="10"/>
      <c r="K20" s="10"/>
      <c r="L20" s="10"/>
      <c r="M20" s="10"/>
      <c r="N20" s="40" t="s">
        <v>72</v>
      </c>
    </row>
    <row r="21" spans="1:14" ht="96.75" customHeight="1">
      <c r="A21" s="6" t="s">
        <v>73</v>
      </c>
      <c r="B21" s="6" t="s">
        <v>74</v>
      </c>
      <c r="C21" s="47" t="s">
        <v>45</v>
      </c>
      <c r="D21" s="53" t="s">
        <v>75</v>
      </c>
      <c r="E21" s="9" t="s">
        <v>76</v>
      </c>
      <c r="F21" s="6" t="s">
        <v>77</v>
      </c>
      <c r="G21" s="24" t="s">
        <v>4</v>
      </c>
      <c r="H21" s="13" t="s">
        <v>38</v>
      </c>
      <c r="I21" s="10"/>
      <c r="J21" s="10"/>
      <c r="K21" s="10" t="s">
        <v>38</v>
      </c>
      <c r="L21" s="10"/>
      <c r="M21" s="10"/>
      <c r="N21" s="10"/>
    </row>
    <row r="22" spans="1:14" ht="120" customHeight="1">
      <c r="A22" s="6" t="s">
        <v>78</v>
      </c>
      <c r="B22" s="6" t="s">
        <v>77</v>
      </c>
      <c r="C22" s="10"/>
      <c r="D22" s="53" t="s">
        <v>79</v>
      </c>
      <c r="E22" s="9" t="s">
        <v>80</v>
      </c>
      <c r="F22" s="6" t="s">
        <v>81</v>
      </c>
      <c r="G22" s="24" t="s">
        <v>4</v>
      </c>
      <c r="H22" s="10"/>
      <c r="I22" s="10"/>
      <c r="J22" s="10"/>
      <c r="K22" s="10" t="s">
        <v>38</v>
      </c>
      <c r="L22" s="10"/>
      <c r="M22" s="10"/>
      <c r="N22" s="10"/>
    </row>
    <row r="23" spans="1:14">
      <c r="B23" s="6"/>
      <c r="C23" s="10"/>
      <c r="D23" s="9"/>
      <c r="E23" s="9"/>
      <c r="F23" s="6"/>
      <c r="G23" s="24"/>
      <c r="H23" s="10"/>
      <c r="I23" s="10"/>
      <c r="J23" s="10"/>
      <c r="K23" s="10"/>
      <c r="L23" s="24"/>
      <c r="M23" s="10"/>
      <c r="N23" s="10"/>
    </row>
    <row r="24" spans="1:14">
      <c r="A24" s="21" t="s">
        <v>82</v>
      </c>
      <c r="B24" s="21"/>
      <c r="C24" s="23"/>
      <c r="D24" s="27"/>
      <c r="E24" s="80"/>
      <c r="F24" s="22"/>
      <c r="G24" s="28"/>
      <c r="H24" s="23"/>
      <c r="I24" s="23"/>
      <c r="J24" s="23"/>
      <c r="K24" s="23"/>
      <c r="L24" s="28"/>
      <c r="M24" s="23"/>
      <c r="N24" s="23"/>
    </row>
    <row r="25" spans="1:14" ht="37.5" customHeight="1">
      <c r="A25" s="6" t="s">
        <v>83</v>
      </c>
      <c r="B25" s="6" t="s">
        <v>84</v>
      </c>
      <c r="C25" s="10"/>
      <c r="D25" s="53" t="s">
        <v>85</v>
      </c>
      <c r="E25" s="9" t="s">
        <v>86</v>
      </c>
      <c r="F25" s="24" t="s">
        <v>87</v>
      </c>
      <c r="G25" s="24" t="s">
        <v>4</v>
      </c>
      <c r="H25" s="10"/>
      <c r="I25" s="10"/>
      <c r="J25" s="10"/>
      <c r="K25" s="10" t="s">
        <v>38</v>
      </c>
      <c r="L25" s="24"/>
      <c r="M25" s="10"/>
      <c r="N25" s="10"/>
    </row>
    <row r="26" spans="1:14" ht="37.5" customHeight="1">
      <c r="A26" s="6" t="s">
        <v>88</v>
      </c>
      <c r="B26" s="6" t="s">
        <v>89</v>
      </c>
      <c r="C26" s="10"/>
      <c r="D26" s="53" t="s">
        <v>90</v>
      </c>
      <c r="E26" s="9" t="s">
        <v>91</v>
      </c>
      <c r="F26" s="24" t="s">
        <v>92</v>
      </c>
      <c r="G26" s="24" t="s">
        <v>4</v>
      </c>
      <c r="H26" s="10"/>
      <c r="I26" s="10"/>
      <c r="J26" s="10"/>
      <c r="K26" s="10" t="s">
        <v>38</v>
      </c>
      <c r="L26" s="24"/>
      <c r="M26" s="10"/>
      <c r="N26" s="10"/>
    </row>
    <row r="27" spans="1:14" ht="37.5" customHeight="1">
      <c r="A27" s="6" t="s">
        <v>93</v>
      </c>
      <c r="B27" s="6" t="s">
        <v>94</v>
      </c>
      <c r="C27" s="10"/>
      <c r="D27" s="53" t="s">
        <v>95</v>
      </c>
      <c r="E27" s="9" t="s">
        <v>86</v>
      </c>
      <c r="F27" s="24" t="s">
        <v>87</v>
      </c>
      <c r="G27" s="24" t="s">
        <v>4</v>
      </c>
      <c r="H27" s="10"/>
      <c r="I27" s="10"/>
      <c r="J27" s="10"/>
      <c r="K27" s="10" t="s">
        <v>38</v>
      </c>
      <c r="L27" s="24"/>
      <c r="M27" s="10"/>
      <c r="N27" s="10"/>
    </row>
    <row r="28" spans="1:14" ht="37.5" customHeight="1">
      <c r="A28" s="6" t="s">
        <v>96</v>
      </c>
      <c r="B28" s="6" t="s">
        <v>97</v>
      </c>
      <c r="C28" s="10"/>
      <c r="D28" s="53" t="s">
        <v>98</v>
      </c>
      <c r="E28" s="9" t="s">
        <v>99</v>
      </c>
      <c r="F28" s="24" t="s">
        <v>100</v>
      </c>
      <c r="G28" s="24" t="s">
        <v>4</v>
      </c>
      <c r="H28" s="10"/>
      <c r="I28" s="10"/>
      <c r="J28" s="10"/>
      <c r="K28" s="10" t="s">
        <v>38</v>
      </c>
      <c r="L28" s="24"/>
      <c r="M28" s="10"/>
      <c r="N28" s="10"/>
    </row>
    <row r="29" spans="1:14" ht="37.5" customHeight="1">
      <c r="A29" s="6" t="s">
        <v>101</v>
      </c>
      <c r="B29" s="6" t="s">
        <v>102</v>
      </c>
      <c r="C29" s="10"/>
      <c r="D29" s="53" t="s">
        <v>103</v>
      </c>
      <c r="E29" s="9" t="s">
        <v>104</v>
      </c>
      <c r="F29" s="24" t="s">
        <v>105</v>
      </c>
      <c r="G29" s="24" t="s">
        <v>4</v>
      </c>
      <c r="H29" s="10"/>
      <c r="I29" s="10"/>
      <c r="J29" s="10"/>
      <c r="K29" s="10" t="s">
        <v>38</v>
      </c>
      <c r="L29" s="24"/>
      <c r="M29" s="10"/>
      <c r="N29" s="10"/>
    </row>
    <row r="30" spans="1:14" ht="37.5" customHeight="1">
      <c r="A30" s="6" t="s">
        <v>106</v>
      </c>
      <c r="B30" s="6" t="s">
        <v>107</v>
      </c>
      <c r="C30" s="10"/>
      <c r="D30" s="53" t="s">
        <v>108</v>
      </c>
      <c r="E30" s="9" t="s">
        <v>109</v>
      </c>
      <c r="F30" s="24" t="s">
        <v>110</v>
      </c>
      <c r="G30" s="24" t="s">
        <v>4</v>
      </c>
      <c r="H30" s="10"/>
      <c r="I30" s="10"/>
      <c r="J30" s="10"/>
      <c r="K30" s="10" t="s">
        <v>38</v>
      </c>
      <c r="L30" s="24"/>
      <c r="M30" s="10"/>
      <c r="N30" s="10"/>
    </row>
    <row r="31" spans="1:14" ht="37.5" customHeight="1">
      <c r="A31" s="6" t="s">
        <v>111</v>
      </c>
      <c r="B31" s="6" t="s">
        <v>112</v>
      </c>
      <c r="C31" s="10"/>
      <c r="D31" s="53" t="s">
        <v>113</v>
      </c>
      <c r="E31" s="9" t="s">
        <v>114</v>
      </c>
      <c r="F31" s="24" t="s">
        <v>115</v>
      </c>
      <c r="G31" s="24" t="s">
        <v>4</v>
      </c>
      <c r="H31" s="10"/>
      <c r="I31" s="10"/>
      <c r="J31" s="10"/>
      <c r="K31" s="10" t="s">
        <v>38</v>
      </c>
      <c r="L31" s="24"/>
      <c r="M31" s="10"/>
      <c r="N31" s="10"/>
    </row>
    <row r="32" spans="1:14" ht="37.5" customHeight="1">
      <c r="A32" s="6" t="s">
        <v>116</v>
      </c>
      <c r="B32" s="6" t="s">
        <v>117</v>
      </c>
      <c r="C32" s="10"/>
      <c r="D32" s="53" t="s">
        <v>118</v>
      </c>
      <c r="E32" s="9" t="s">
        <v>119</v>
      </c>
      <c r="F32" s="24" t="s">
        <v>120</v>
      </c>
      <c r="G32" s="24" t="s">
        <v>4</v>
      </c>
      <c r="H32" s="10"/>
      <c r="I32" s="10"/>
      <c r="J32" s="10"/>
      <c r="K32" s="10" t="s">
        <v>38</v>
      </c>
      <c r="L32" s="24"/>
      <c r="M32" s="10"/>
      <c r="N32" s="10"/>
    </row>
    <row r="33" spans="1:14" ht="37.5" customHeight="1">
      <c r="A33" s="6" t="s">
        <v>121</v>
      </c>
      <c r="B33" s="6" t="s">
        <v>122</v>
      </c>
      <c r="C33" s="10"/>
      <c r="D33" s="53" t="s">
        <v>123</v>
      </c>
      <c r="E33" s="9" t="s">
        <v>124</v>
      </c>
      <c r="F33" s="52"/>
      <c r="G33" s="24"/>
      <c r="H33" s="10"/>
      <c r="I33" s="10"/>
      <c r="J33" s="10"/>
      <c r="K33" s="10"/>
      <c r="L33" s="24"/>
      <c r="M33" s="10"/>
      <c r="N33" s="51" t="s">
        <v>1177</v>
      </c>
    </row>
    <row r="34" spans="1:14" ht="37.5" customHeight="1">
      <c r="A34" s="6" t="s">
        <v>125</v>
      </c>
      <c r="B34" s="6" t="s">
        <v>126</v>
      </c>
      <c r="C34" s="10"/>
      <c r="D34" s="53" t="s">
        <v>127</v>
      </c>
      <c r="E34" s="9" t="s">
        <v>128</v>
      </c>
      <c r="F34" s="24" t="s">
        <v>129</v>
      </c>
      <c r="G34" s="24" t="s">
        <v>4</v>
      </c>
      <c r="H34" s="10"/>
      <c r="I34" s="10"/>
      <c r="J34" s="10"/>
      <c r="K34" s="10" t="s">
        <v>38</v>
      </c>
      <c r="L34" s="24"/>
      <c r="M34" s="10"/>
      <c r="N34" s="10"/>
    </row>
    <row r="35" spans="1:14" ht="38.25" customHeight="1">
      <c r="A35" s="6" t="s">
        <v>130</v>
      </c>
      <c r="B35" s="6" t="s">
        <v>131</v>
      </c>
      <c r="C35" s="10"/>
      <c r="D35" s="53" t="s">
        <v>132</v>
      </c>
      <c r="E35" s="9" t="s">
        <v>133</v>
      </c>
      <c r="F35" s="52" t="s">
        <v>134</v>
      </c>
      <c r="G35" s="24" t="s">
        <v>4</v>
      </c>
      <c r="H35" s="10"/>
      <c r="I35" s="10"/>
      <c r="J35" s="10"/>
      <c r="K35" s="10" t="s">
        <v>38</v>
      </c>
      <c r="L35" s="24"/>
      <c r="M35" s="10"/>
      <c r="N35" s="10"/>
    </row>
    <row r="36" spans="1:14">
      <c r="A36" s="6"/>
      <c r="B36" s="6"/>
      <c r="C36" s="10"/>
      <c r="D36" s="9"/>
      <c r="E36" s="9"/>
      <c r="F36" s="6"/>
      <c r="G36" s="24"/>
      <c r="H36" s="10"/>
      <c r="I36" s="10"/>
      <c r="J36" s="10"/>
      <c r="K36" s="10"/>
      <c r="L36" s="24"/>
      <c r="M36" s="10"/>
      <c r="N36" s="10"/>
    </row>
    <row r="37" spans="1:14">
      <c r="A37" s="68" t="s">
        <v>135</v>
      </c>
      <c r="B37" s="20"/>
      <c r="C37" s="17"/>
      <c r="D37" s="19"/>
      <c r="E37" s="19"/>
      <c r="F37" s="20"/>
      <c r="G37" s="29"/>
      <c r="H37" s="17"/>
      <c r="I37" s="17"/>
      <c r="J37" s="17"/>
      <c r="K37" s="17"/>
      <c r="L37" s="29"/>
      <c r="M37" s="17"/>
      <c r="N37" s="17"/>
    </row>
    <row r="38" spans="1:14">
      <c r="A38" s="21" t="s">
        <v>136</v>
      </c>
      <c r="B38" s="22"/>
      <c r="C38" s="30"/>
      <c r="D38" s="80"/>
      <c r="E38" s="80"/>
      <c r="F38" s="22"/>
      <c r="G38" s="28"/>
      <c r="H38" s="23"/>
      <c r="I38" s="23"/>
      <c r="J38" s="23"/>
      <c r="K38" s="23"/>
      <c r="L38" s="28"/>
      <c r="M38" s="23"/>
      <c r="N38" s="23"/>
    </row>
    <row r="39" spans="1:14">
      <c r="A39" s="33" t="s">
        <v>137</v>
      </c>
      <c r="B39" s="33"/>
      <c r="C39" s="65" t="s">
        <v>45</v>
      </c>
      <c r="D39" s="35"/>
      <c r="E39" s="36"/>
      <c r="F39" s="37"/>
      <c r="G39" s="38"/>
      <c r="H39" s="34"/>
      <c r="I39" s="34"/>
      <c r="J39" s="34"/>
      <c r="K39" s="34"/>
      <c r="L39" s="38"/>
      <c r="M39" s="34"/>
      <c r="N39" s="34" t="s">
        <v>138</v>
      </c>
    </row>
    <row r="40" spans="1:14" ht="37.5" customHeight="1">
      <c r="A40" s="6" t="s">
        <v>139</v>
      </c>
      <c r="B40" s="6" t="s">
        <v>140</v>
      </c>
      <c r="C40" s="10"/>
      <c r="D40" s="53" t="s">
        <v>141</v>
      </c>
      <c r="E40" s="9" t="s">
        <v>142</v>
      </c>
      <c r="F40" s="6"/>
      <c r="G40" s="24" t="s">
        <v>4</v>
      </c>
      <c r="H40" s="10"/>
      <c r="I40" s="10"/>
      <c r="J40" s="10" t="s">
        <v>38</v>
      </c>
      <c r="K40" s="10"/>
      <c r="L40" s="24"/>
      <c r="M40" s="10"/>
      <c r="N40" s="10"/>
    </row>
    <row r="41" spans="1:14" ht="37.5" customHeight="1">
      <c r="A41" s="6" t="s">
        <v>143</v>
      </c>
      <c r="B41" s="6" t="s">
        <v>144</v>
      </c>
      <c r="C41" s="10"/>
      <c r="D41" s="53" t="s">
        <v>145</v>
      </c>
      <c r="E41" s="9" t="s">
        <v>142</v>
      </c>
      <c r="F41" s="6"/>
      <c r="G41" s="24" t="s">
        <v>4</v>
      </c>
      <c r="H41" s="10"/>
      <c r="I41" s="10"/>
      <c r="J41" s="10" t="s">
        <v>38</v>
      </c>
      <c r="K41" s="10"/>
      <c r="L41" s="24"/>
      <c r="M41" s="10"/>
      <c r="N41" s="10"/>
    </row>
    <row r="42" spans="1:14" ht="37.5" customHeight="1">
      <c r="A42" s="6" t="s">
        <v>146</v>
      </c>
      <c r="B42" s="6" t="s">
        <v>147</v>
      </c>
      <c r="C42" s="10"/>
      <c r="D42" s="53" t="s">
        <v>148</v>
      </c>
      <c r="E42" s="9" t="s">
        <v>149</v>
      </c>
      <c r="F42" s="6" t="s">
        <v>150</v>
      </c>
      <c r="G42" s="24" t="s">
        <v>4</v>
      </c>
      <c r="H42" s="10"/>
      <c r="I42" s="10"/>
      <c r="J42" s="10" t="s">
        <v>38</v>
      </c>
      <c r="K42" s="10"/>
      <c r="L42" s="24"/>
      <c r="M42" s="10"/>
      <c r="N42" s="10"/>
    </row>
    <row r="43" spans="1:14">
      <c r="B43" s="6"/>
      <c r="C43" s="10"/>
      <c r="D43" s="9"/>
      <c r="E43" s="9"/>
      <c r="F43" s="6"/>
      <c r="G43" s="24"/>
      <c r="H43" s="10"/>
      <c r="I43" s="10"/>
      <c r="J43" s="10"/>
      <c r="K43" s="10"/>
      <c r="L43" s="24"/>
      <c r="M43" s="10"/>
      <c r="N43" s="10"/>
    </row>
    <row r="44" spans="1:14" ht="44.25" customHeight="1">
      <c r="A44" s="33" t="s">
        <v>151</v>
      </c>
      <c r="B44" s="33"/>
      <c r="C44" s="34" t="s">
        <v>152</v>
      </c>
      <c r="D44" s="35"/>
      <c r="E44" s="36"/>
      <c r="F44" s="37"/>
      <c r="G44" s="38"/>
      <c r="H44" s="34"/>
      <c r="I44" s="34"/>
      <c r="J44" s="34"/>
      <c r="K44" s="34"/>
      <c r="L44" s="38"/>
      <c r="M44" s="34"/>
      <c r="N44" s="34"/>
    </row>
    <row r="45" spans="1:14" ht="75" customHeight="1">
      <c r="A45" s="6" t="s">
        <v>153</v>
      </c>
      <c r="B45" s="6" t="s">
        <v>154</v>
      </c>
      <c r="C45" s="10"/>
      <c r="D45" s="9" t="s">
        <v>155</v>
      </c>
      <c r="E45" s="9" t="s">
        <v>156</v>
      </c>
      <c r="F45" s="6" t="s">
        <v>157</v>
      </c>
      <c r="G45" s="24" t="s">
        <v>4</v>
      </c>
      <c r="H45" s="10" t="s">
        <v>38</v>
      </c>
      <c r="I45" s="10"/>
      <c r="J45" s="10"/>
      <c r="K45" s="10"/>
      <c r="L45" s="24"/>
      <c r="M45" s="10"/>
      <c r="N45" s="10"/>
    </row>
    <row r="46" spans="1:14" ht="59.25" customHeight="1">
      <c r="A46" s="6" t="s">
        <v>158</v>
      </c>
      <c r="B46" s="6" t="s">
        <v>159</v>
      </c>
      <c r="C46" s="10"/>
      <c r="D46" s="53" t="s">
        <v>160</v>
      </c>
      <c r="E46" s="53" t="s">
        <v>161</v>
      </c>
      <c r="F46" s="6" t="s">
        <v>162</v>
      </c>
      <c r="G46" s="24" t="s">
        <v>4</v>
      </c>
      <c r="H46" s="10"/>
      <c r="I46" s="10"/>
      <c r="J46" s="10"/>
      <c r="K46" s="10" t="s">
        <v>38</v>
      </c>
      <c r="L46" s="24"/>
      <c r="M46" s="10"/>
      <c r="N46" s="10"/>
    </row>
    <row r="47" spans="1:14" ht="59.25" customHeight="1">
      <c r="A47" s="6" t="s">
        <v>163</v>
      </c>
      <c r="B47" s="6" t="s">
        <v>164</v>
      </c>
      <c r="C47" s="10"/>
      <c r="D47" s="53" t="s">
        <v>165</v>
      </c>
      <c r="E47" s="53" t="s">
        <v>166</v>
      </c>
      <c r="F47" s="6" t="s">
        <v>167</v>
      </c>
      <c r="G47" s="24" t="s">
        <v>4</v>
      </c>
      <c r="H47" s="10"/>
      <c r="I47" s="10"/>
      <c r="J47" s="10"/>
      <c r="K47" s="10" t="s">
        <v>38</v>
      </c>
      <c r="L47" s="24"/>
      <c r="M47" s="10"/>
      <c r="N47" s="10"/>
    </row>
    <row r="48" spans="1:14" ht="59.25" customHeight="1">
      <c r="A48" s="6" t="s">
        <v>168</v>
      </c>
      <c r="B48" s="6" t="s">
        <v>169</v>
      </c>
      <c r="C48" s="10"/>
      <c r="D48" s="53" t="s">
        <v>170</v>
      </c>
      <c r="E48" s="53" t="s">
        <v>171</v>
      </c>
      <c r="F48" s="6" t="s">
        <v>172</v>
      </c>
      <c r="G48" s="24" t="s">
        <v>4</v>
      </c>
      <c r="H48" s="10"/>
      <c r="I48" s="10"/>
      <c r="J48" s="10"/>
      <c r="K48" s="10" t="s">
        <v>38</v>
      </c>
      <c r="L48" s="24"/>
      <c r="M48" s="10"/>
      <c r="N48" s="10"/>
    </row>
    <row r="49" spans="1:28" ht="39.75" customHeight="1">
      <c r="A49" s="6" t="s">
        <v>173</v>
      </c>
      <c r="B49" s="6" t="s">
        <v>174</v>
      </c>
      <c r="C49" s="10"/>
      <c r="D49" s="53" t="s">
        <v>175</v>
      </c>
      <c r="E49" s="53" t="s">
        <v>176</v>
      </c>
      <c r="F49" s="6" t="s">
        <v>177</v>
      </c>
      <c r="G49" s="24" t="s">
        <v>4</v>
      </c>
      <c r="H49" s="10"/>
      <c r="I49" s="10"/>
      <c r="J49" s="10"/>
      <c r="K49" s="10" t="s">
        <v>38</v>
      </c>
      <c r="L49" s="24"/>
      <c r="M49" s="10"/>
      <c r="N49" s="10"/>
    </row>
    <row r="50" spans="1:28" ht="39.75" customHeight="1">
      <c r="A50" s="6" t="s">
        <v>178</v>
      </c>
      <c r="B50" s="6" t="s">
        <v>179</v>
      </c>
      <c r="C50" s="10"/>
      <c r="D50" s="53" t="s">
        <v>180</v>
      </c>
      <c r="E50" s="9" t="s">
        <v>181</v>
      </c>
      <c r="F50" s="6" t="s">
        <v>182</v>
      </c>
      <c r="G50" s="24" t="s">
        <v>4</v>
      </c>
      <c r="H50" s="10"/>
      <c r="I50" s="10"/>
      <c r="J50" s="10"/>
      <c r="K50" s="10" t="s">
        <v>38</v>
      </c>
      <c r="L50" s="24"/>
      <c r="M50" s="10"/>
      <c r="N50" s="10"/>
    </row>
    <row r="51" spans="1:28" ht="39.75" customHeight="1">
      <c r="A51" s="6" t="s">
        <v>183</v>
      </c>
      <c r="B51" s="6" t="s">
        <v>184</v>
      </c>
      <c r="C51" s="10"/>
      <c r="D51" s="53" t="s">
        <v>185</v>
      </c>
      <c r="E51" s="9" t="s">
        <v>186</v>
      </c>
      <c r="F51" s="6" t="s">
        <v>187</v>
      </c>
      <c r="G51" s="24" t="s">
        <v>4</v>
      </c>
      <c r="H51" s="10"/>
      <c r="I51" s="10"/>
      <c r="J51" s="10"/>
      <c r="K51" s="10" t="s">
        <v>38</v>
      </c>
      <c r="L51" s="24"/>
      <c r="M51" s="10"/>
      <c r="N51" s="10"/>
    </row>
    <row r="52" spans="1:28" ht="93.75" customHeight="1">
      <c r="A52" s="6" t="s">
        <v>188</v>
      </c>
      <c r="B52" s="6" t="s">
        <v>189</v>
      </c>
      <c r="C52" s="10"/>
      <c r="D52" s="53" t="s">
        <v>190</v>
      </c>
      <c r="E52" s="49" t="s">
        <v>191</v>
      </c>
      <c r="F52" s="6" t="s">
        <v>192</v>
      </c>
      <c r="G52" s="24" t="s">
        <v>4</v>
      </c>
      <c r="H52" s="10" t="s">
        <v>38</v>
      </c>
      <c r="I52" s="10"/>
      <c r="J52" s="10"/>
      <c r="K52" s="10"/>
      <c r="L52" s="24"/>
      <c r="M52" s="10"/>
      <c r="N52" s="10"/>
    </row>
    <row r="53" spans="1:28" ht="56.25" customHeight="1">
      <c r="A53" s="6" t="s">
        <v>193</v>
      </c>
      <c r="B53" s="6" t="s">
        <v>194</v>
      </c>
      <c r="C53" s="10"/>
      <c r="D53" s="53" t="s">
        <v>195</v>
      </c>
      <c r="E53" s="53" t="s">
        <v>166</v>
      </c>
      <c r="F53" s="6" t="s">
        <v>167</v>
      </c>
      <c r="G53" s="24" t="s">
        <v>4</v>
      </c>
      <c r="H53" s="10"/>
      <c r="I53" s="10"/>
      <c r="J53" s="10"/>
      <c r="K53" s="10" t="s">
        <v>38</v>
      </c>
      <c r="L53" s="24"/>
      <c r="M53" s="10"/>
      <c r="N53" s="10"/>
    </row>
    <row r="54" spans="1:28" ht="39" customHeight="1">
      <c r="A54" s="6" t="s">
        <v>196</v>
      </c>
      <c r="B54" s="6" t="s">
        <v>197</v>
      </c>
      <c r="C54" s="10"/>
      <c r="D54" s="53" t="s">
        <v>198</v>
      </c>
      <c r="E54" s="9" t="s">
        <v>199</v>
      </c>
      <c r="F54" s="6"/>
      <c r="G54" s="24" t="s">
        <v>4</v>
      </c>
      <c r="H54" s="10"/>
      <c r="I54" s="10"/>
      <c r="J54" s="10"/>
      <c r="K54" s="10" t="s">
        <v>38</v>
      </c>
      <c r="L54" s="24"/>
      <c r="M54" s="10"/>
      <c r="N54" s="10"/>
    </row>
    <row r="55" spans="1:28" ht="39" customHeight="1">
      <c r="A55" s="6" t="s">
        <v>200</v>
      </c>
      <c r="B55" s="6" t="s">
        <v>201</v>
      </c>
      <c r="C55" s="10"/>
      <c r="D55" s="53" t="s">
        <v>198</v>
      </c>
      <c r="E55" s="9" t="s">
        <v>199</v>
      </c>
      <c r="F55" s="6"/>
      <c r="G55" s="24" t="s">
        <v>4</v>
      </c>
      <c r="H55" s="10"/>
      <c r="I55" s="10"/>
      <c r="J55" s="10"/>
      <c r="K55" s="10" t="s">
        <v>38</v>
      </c>
      <c r="L55" s="24"/>
      <c r="M55" s="10"/>
      <c r="N55" s="10"/>
    </row>
    <row r="56" spans="1:28" ht="39" customHeight="1">
      <c r="A56" s="6" t="s">
        <v>202</v>
      </c>
      <c r="B56" s="6" t="s">
        <v>203</v>
      </c>
      <c r="C56" s="10"/>
      <c r="D56" s="53" t="s">
        <v>204</v>
      </c>
      <c r="E56" s="9" t="s">
        <v>199</v>
      </c>
      <c r="F56" s="6"/>
      <c r="G56" s="24" t="s">
        <v>4</v>
      </c>
      <c r="H56" s="10"/>
      <c r="I56" s="10"/>
      <c r="J56" s="10"/>
      <c r="K56" s="10" t="s">
        <v>38</v>
      </c>
      <c r="L56" s="24"/>
      <c r="M56" s="10"/>
      <c r="N56" s="10"/>
    </row>
    <row r="57" spans="1:28" ht="39" customHeight="1">
      <c r="A57" s="6" t="s">
        <v>205</v>
      </c>
      <c r="B57" s="6" t="s">
        <v>206</v>
      </c>
      <c r="C57" s="10"/>
      <c r="D57" s="9" t="s">
        <v>207</v>
      </c>
      <c r="E57" s="9" t="s">
        <v>208</v>
      </c>
      <c r="F57" s="6"/>
      <c r="G57" s="24" t="s">
        <v>4</v>
      </c>
      <c r="H57" s="10" t="s">
        <v>38</v>
      </c>
      <c r="I57" s="10"/>
      <c r="J57" s="10"/>
      <c r="K57" s="10" t="s">
        <v>38</v>
      </c>
      <c r="L57" s="24"/>
      <c r="M57" s="10"/>
      <c r="N57" s="10"/>
    </row>
    <row r="58" spans="1:28">
      <c r="B58" s="6"/>
      <c r="C58" s="10"/>
      <c r="D58" s="9"/>
      <c r="E58" s="9"/>
      <c r="F58" s="6"/>
      <c r="G58" s="24"/>
      <c r="H58" s="10"/>
      <c r="I58" s="10"/>
      <c r="J58" s="10"/>
      <c r="K58" s="10"/>
      <c r="L58" s="24"/>
      <c r="M58" s="10"/>
      <c r="N58" s="10"/>
    </row>
    <row r="59" spans="1:28">
      <c r="A59" s="56" t="s">
        <v>209</v>
      </c>
      <c r="B59" s="33"/>
      <c r="C59" s="44" t="s">
        <v>45</v>
      </c>
      <c r="D59" s="35"/>
      <c r="E59" s="36"/>
      <c r="F59" s="37"/>
      <c r="G59" s="38"/>
      <c r="H59" s="34"/>
      <c r="I59" s="34"/>
      <c r="J59" s="34"/>
      <c r="K59" s="34"/>
      <c r="L59" s="38"/>
      <c r="M59" s="34"/>
      <c r="N59" s="34"/>
    </row>
    <row r="60" spans="1:28" ht="56.25" customHeight="1">
      <c r="A60" s="6" t="s">
        <v>210</v>
      </c>
      <c r="B60" s="6" t="s">
        <v>211</v>
      </c>
      <c r="C60" s="10"/>
      <c r="D60" s="9" t="s">
        <v>212</v>
      </c>
      <c r="E60" s="9" t="s">
        <v>213</v>
      </c>
      <c r="F60" s="6" t="s">
        <v>214</v>
      </c>
      <c r="G60" s="24" t="s">
        <v>4</v>
      </c>
      <c r="H60" s="10" t="s">
        <v>38</v>
      </c>
      <c r="I60" s="10"/>
      <c r="J60" s="10"/>
      <c r="K60" s="10"/>
      <c r="L60" s="24"/>
      <c r="M60" s="24"/>
      <c r="N60" s="10"/>
    </row>
    <row r="61" spans="1:28" ht="40.5" customHeight="1">
      <c r="A61" s="6" t="s">
        <v>215</v>
      </c>
      <c r="B61" s="6" t="s">
        <v>216</v>
      </c>
      <c r="C61" s="10"/>
      <c r="D61" s="53" t="s">
        <v>217</v>
      </c>
      <c r="E61" s="9" t="s">
        <v>218</v>
      </c>
      <c r="F61" s="6" t="s">
        <v>219</v>
      </c>
      <c r="G61" s="24" t="s">
        <v>4</v>
      </c>
      <c r="H61" s="10" t="s">
        <v>38</v>
      </c>
      <c r="I61" s="10"/>
      <c r="J61" s="10"/>
      <c r="K61" s="10"/>
      <c r="L61" s="24"/>
      <c r="M61" s="10"/>
      <c r="N61" s="10"/>
      <c r="AB61" s="10"/>
    </row>
    <row r="62" spans="1:28" ht="40.5" customHeight="1">
      <c r="A62" s="6" t="s">
        <v>220</v>
      </c>
      <c r="B62" s="6" t="s">
        <v>184</v>
      </c>
      <c r="C62" s="10"/>
      <c r="D62" s="53" t="s">
        <v>221</v>
      </c>
      <c r="E62" s="9" t="s">
        <v>222</v>
      </c>
      <c r="F62" s="6" t="s">
        <v>219</v>
      </c>
      <c r="G62" s="24" t="s">
        <v>4</v>
      </c>
      <c r="H62" s="10"/>
      <c r="I62" s="10"/>
      <c r="J62" s="10"/>
      <c r="K62" s="10" t="s">
        <v>38</v>
      </c>
      <c r="L62" s="24"/>
      <c r="M62" s="24"/>
      <c r="N62" s="10"/>
    </row>
    <row r="63" spans="1:28" ht="40.5" customHeight="1">
      <c r="A63" s="6" t="s">
        <v>223</v>
      </c>
      <c r="B63" s="6" t="s">
        <v>224</v>
      </c>
      <c r="C63" s="10"/>
      <c r="D63" s="9" t="s">
        <v>225</v>
      </c>
      <c r="E63" s="9" t="s">
        <v>226</v>
      </c>
      <c r="F63" s="6" t="s">
        <v>227</v>
      </c>
      <c r="G63" s="24" t="s">
        <v>4</v>
      </c>
      <c r="H63" s="10"/>
      <c r="I63" s="10"/>
      <c r="J63" s="10"/>
      <c r="K63" s="10" t="s">
        <v>38</v>
      </c>
      <c r="L63" s="24"/>
      <c r="M63" s="24"/>
      <c r="N63" s="10"/>
    </row>
    <row r="64" spans="1:28" ht="40.5" customHeight="1">
      <c r="A64" s="6" t="s">
        <v>228</v>
      </c>
      <c r="B64" s="6" t="s">
        <v>229</v>
      </c>
      <c r="C64" s="10"/>
      <c r="D64" s="9" t="s">
        <v>230</v>
      </c>
      <c r="E64" s="9" t="s">
        <v>231</v>
      </c>
      <c r="F64" s="6" t="s">
        <v>232</v>
      </c>
      <c r="G64" s="24" t="s">
        <v>4</v>
      </c>
      <c r="H64" s="10"/>
      <c r="I64" s="10"/>
      <c r="J64" s="10"/>
      <c r="K64" s="10" t="s">
        <v>38</v>
      </c>
      <c r="L64" s="24"/>
      <c r="M64" s="24"/>
      <c r="N64" s="10"/>
    </row>
    <row r="65" spans="1:14" ht="40.5" customHeight="1">
      <c r="A65" s="6" t="s">
        <v>233</v>
      </c>
      <c r="B65" s="6" t="s">
        <v>234</v>
      </c>
      <c r="C65" s="10"/>
      <c r="D65" s="9" t="s">
        <v>235</v>
      </c>
      <c r="E65" s="9" t="s">
        <v>236</v>
      </c>
      <c r="F65" s="6"/>
      <c r="G65" s="24" t="s">
        <v>5</v>
      </c>
      <c r="H65" s="10"/>
      <c r="I65" s="10"/>
      <c r="J65" s="10"/>
      <c r="K65" s="10" t="s">
        <v>38</v>
      </c>
      <c r="L65" s="24"/>
      <c r="M65" s="24" t="s">
        <v>237</v>
      </c>
      <c r="N65" s="40" t="s">
        <v>238</v>
      </c>
    </row>
    <row r="66" spans="1:14" ht="40.5" customHeight="1">
      <c r="A66" s="6" t="s">
        <v>239</v>
      </c>
      <c r="B66" s="6" t="s">
        <v>240</v>
      </c>
      <c r="C66" s="10"/>
      <c r="D66" s="9" t="s">
        <v>241</v>
      </c>
      <c r="E66" s="9" t="s">
        <v>242</v>
      </c>
      <c r="F66" s="6"/>
      <c r="G66" s="24" t="s">
        <v>4</v>
      </c>
      <c r="H66" s="10"/>
      <c r="I66" s="10"/>
      <c r="J66" s="10"/>
      <c r="K66" s="10" t="s">
        <v>38</v>
      </c>
      <c r="L66" s="24"/>
      <c r="M66" s="24"/>
      <c r="N66" s="10"/>
    </row>
    <row r="67" spans="1:14" ht="77.25" customHeight="1">
      <c r="A67" s="6" t="s">
        <v>243</v>
      </c>
      <c r="B67" s="6" t="s">
        <v>244</v>
      </c>
      <c r="C67" s="10"/>
      <c r="D67" s="9" t="s">
        <v>245</v>
      </c>
      <c r="E67" s="54" t="s">
        <v>246</v>
      </c>
      <c r="F67" s="55" t="s">
        <v>247</v>
      </c>
      <c r="G67" s="24" t="s">
        <v>4</v>
      </c>
      <c r="H67" s="10" t="s">
        <v>38</v>
      </c>
      <c r="I67" s="10"/>
      <c r="J67" s="10"/>
      <c r="K67" s="92"/>
      <c r="L67" s="24"/>
      <c r="M67" s="24"/>
      <c r="N67" s="10"/>
    </row>
    <row r="68" spans="1:14" ht="77.25" customHeight="1">
      <c r="A68" s="6" t="s">
        <v>248</v>
      </c>
      <c r="B68" s="6" t="s">
        <v>249</v>
      </c>
      <c r="C68" s="10"/>
      <c r="D68" s="53" t="s">
        <v>250</v>
      </c>
      <c r="E68" s="54" t="s">
        <v>251</v>
      </c>
      <c r="F68" s="6" t="s">
        <v>252</v>
      </c>
      <c r="G68" s="24" t="s">
        <v>4</v>
      </c>
      <c r="H68" s="10"/>
      <c r="I68" s="10"/>
      <c r="J68" s="10"/>
      <c r="K68" s="10" t="s">
        <v>38</v>
      </c>
      <c r="L68" s="24"/>
      <c r="M68" s="10"/>
      <c r="N68" s="10"/>
    </row>
    <row r="69" spans="1:14" ht="59.25" customHeight="1">
      <c r="A69" s="6" t="s">
        <v>253</v>
      </c>
      <c r="B69" s="55" t="s">
        <v>254</v>
      </c>
      <c r="C69" s="10"/>
      <c r="D69" s="53" t="s">
        <v>255</v>
      </c>
      <c r="E69" s="53" t="s">
        <v>256</v>
      </c>
      <c r="F69" s="6"/>
      <c r="G69" s="24" t="s">
        <v>5</v>
      </c>
      <c r="H69" s="10" t="s">
        <v>38</v>
      </c>
      <c r="I69" s="10"/>
      <c r="J69" s="10"/>
      <c r="K69" s="10"/>
      <c r="L69" s="24"/>
      <c r="M69" s="24" t="s">
        <v>257</v>
      </c>
      <c r="N69" s="40" t="s">
        <v>258</v>
      </c>
    </row>
    <row r="70" spans="1:14">
      <c r="B70" s="6"/>
      <c r="C70" s="10"/>
      <c r="D70" s="9"/>
      <c r="E70" s="9"/>
      <c r="F70" s="6"/>
      <c r="G70" s="24"/>
      <c r="H70" s="10"/>
      <c r="I70" s="10"/>
      <c r="J70" s="10"/>
      <c r="K70" s="10"/>
      <c r="L70" s="24"/>
      <c r="M70" s="10"/>
      <c r="N70" s="10"/>
    </row>
    <row r="71" spans="1:14">
      <c r="A71" s="56" t="s">
        <v>259</v>
      </c>
      <c r="B71" s="33"/>
      <c r="C71" s="44" t="s">
        <v>45</v>
      </c>
      <c r="D71" s="35"/>
      <c r="E71" s="36"/>
      <c r="F71" s="37"/>
      <c r="G71" s="38"/>
      <c r="H71" s="34"/>
      <c r="I71" s="34"/>
      <c r="J71" s="34"/>
      <c r="K71" s="34"/>
      <c r="L71" s="38"/>
      <c r="M71" s="34"/>
      <c r="N71" s="34"/>
    </row>
    <row r="72" spans="1:14" ht="56.25" customHeight="1">
      <c r="A72" s="6" t="s">
        <v>260</v>
      </c>
      <c r="B72" s="55" t="s">
        <v>261</v>
      </c>
      <c r="C72" s="10"/>
      <c r="D72" s="53" t="s">
        <v>262</v>
      </c>
      <c r="E72" s="53" t="s">
        <v>263</v>
      </c>
      <c r="F72" s="52" t="s">
        <v>264</v>
      </c>
      <c r="G72" s="24" t="s">
        <v>4</v>
      </c>
      <c r="H72" s="92"/>
      <c r="I72" s="10" t="s">
        <v>38</v>
      </c>
      <c r="J72" s="10"/>
      <c r="K72" s="10"/>
      <c r="L72" s="24"/>
      <c r="M72" s="10"/>
      <c r="N72" s="10"/>
    </row>
    <row r="73" spans="1:14">
      <c r="B73" s="6"/>
      <c r="C73" s="10"/>
      <c r="D73" s="9"/>
      <c r="E73" s="9"/>
      <c r="F73" s="6"/>
      <c r="G73" s="24"/>
      <c r="H73" s="10"/>
      <c r="I73" s="10"/>
      <c r="J73" s="10"/>
      <c r="K73" s="10"/>
      <c r="L73" s="24"/>
      <c r="M73" s="10"/>
      <c r="N73" s="10"/>
    </row>
    <row r="74" spans="1:14">
      <c r="A74" s="56" t="s">
        <v>265</v>
      </c>
      <c r="B74" s="33"/>
      <c r="C74" s="44" t="s">
        <v>45</v>
      </c>
      <c r="D74" s="35"/>
      <c r="E74" s="36"/>
      <c r="F74" s="37"/>
      <c r="G74" s="38"/>
      <c r="H74" s="34"/>
      <c r="I74" s="34"/>
      <c r="J74" s="34"/>
      <c r="K74" s="34"/>
      <c r="L74" s="38"/>
      <c r="M74" s="34"/>
      <c r="N74" s="34"/>
    </row>
    <row r="75" spans="1:14" ht="56.25" customHeight="1">
      <c r="A75" s="6" t="s">
        <v>266</v>
      </c>
      <c r="B75" s="55" t="s">
        <v>267</v>
      </c>
      <c r="C75" s="10"/>
      <c r="D75" s="53" t="s">
        <v>268</v>
      </c>
      <c r="E75" s="53" t="s">
        <v>269</v>
      </c>
      <c r="F75" s="6" t="s">
        <v>270</v>
      </c>
      <c r="G75" s="24" t="s">
        <v>4</v>
      </c>
      <c r="H75" s="92"/>
      <c r="I75" s="10" t="s">
        <v>38</v>
      </c>
      <c r="J75" s="10"/>
      <c r="K75" s="10"/>
      <c r="L75" s="24"/>
      <c r="M75" s="10"/>
      <c r="N75" s="10"/>
    </row>
    <row r="76" spans="1:14">
      <c r="B76" s="6"/>
      <c r="C76" s="10"/>
      <c r="D76" s="9"/>
      <c r="E76" s="9"/>
      <c r="F76" s="6"/>
      <c r="G76" s="24"/>
      <c r="H76" s="10"/>
      <c r="I76" s="10"/>
      <c r="J76" s="10"/>
      <c r="K76" s="10"/>
      <c r="L76" s="24"/>
      <c r="M76" s="10"/>
      <c r="N76" s="10"/>
    </row>
    <row r="77" spans="1:14">
      <c r="A77" s="56" t="s">
        <v>271</v>
      </c>
      <c r="B77" s="33"/>
      <c r="C77" s="44" t="s">
        <v>45</v>
      </c>
      <c r="D77" s="35"/>
      <c r="E77" s="36"/>
      <c r="F77" s="37"/>
      <c r="G77" s="38"/>
      <c r="H77" s="34"/>
      <c r="I77" s="34"/>
      <c r="J77" s="34"/>
      <c r="K77" s="34"/>
      <c r="L77" s="38"/>
      <c r="M77" s="34"/>
      <c r="N77" s="34"/>
    </row>
    <row r="78" spans="1:14" ht="56.25" customHeight="1">
      <c r="A78" s="6" t="s">
        <v>272</v>
      </c>
      <c r="B78" s="55" t="s">
        <v>273</v>
      </c>
      <c r="C78" s="10"/>
      <c r="D78" s="53" t="s">
        <v>274</v>
      </c>
      <c r="E78" s="53" t="s">
        <v>275</v>
      </c>
      <c r="F78" s="6" t="s">
        <v>276</v>
      </c>
      <c r="G78" s="24" t="s">
        <v>4</v>
      </c>
      <c r="H78" s="92"/>
      <c r="I78" s="10"/>
      <c r="J78" s="57" t="s">
        <v>38</v>
      </c>
      <c r="K78" s="10"/>
      <c r="L78" s="24"/>
      <c r="M78" s="10"/>
      <c r="N78" s="10"/>
    </row>
    <row r="79" spans="1:14" ht="41.25" customHeight="1">
      <c r="A79" s="6" t="s">
        <v>277</v>
      </c>
      <c r="B79" s="55" t="s">
        <v>278</v>
      </c>
      <c r="C79" s="10"/>
      <c r="D79" s="53" t="s">
        <v>279</v>
      </c>
      <c r="E79" s="53" t="s">
        <v>280</v>
      </c>
      <c r="F79" s="6"/>
      <c r="G79" s="24" t="s">
        <v>4</v>
      </c>
      <c r="H79" s="10"/>
      <c r="I79" s="10"/>
      <c r="J79" s="57" t="s">
        <v>38</v>
      </c>
      <c r="K79" s="10"/>
      <c r="L79" s="24"/>
      <c r="M79" s="10"/>
      <c r="N79" s="10"/>
    </row>
    <row r="80" spans="1:14" ht="41.25" customHeight="1">
      <c r="A80" s="6" t="s">
        <v>281</v>
      </c>
      <c r="B80" s="55" t="s">
        <v>282</v>
      </c>
      <c r="C80" s="10"/>
      <c r="D80" s="53" t="s">
        <v>283</v>
      </c>
      <c r="E80" s="53" t="s">
        <v>284</v>
      </c>
      <c r="F80" s="6" t="s">
        <v>285</v>
      </c>
      <c r="G80" s="24" t="s">
        <v>4</v>
      </c>
      <c r="H80" s="10"/>
      <c r="I80" s="10"/>
      <c r="J80" s="57" t="s">
        <v>38</v>
      </c>
      <c r="K80" s="10"/>
      <c r="L80" s="24"/>
      <c r="M80" s="10"/>
      <c r="N80" s="10"/>
    </row>
    <row r="81" spans="1:14" ht="41.25" customHeight="1">
      <c r="A81" s="6" t="s">
        <v>286</v>
      </c>
      <c r="B81" s="55" t="s">
        <v>287</v>
      </c>
      <c r="C81" s="10"/>
      <c r="D81" s="53" t="s">
        <v>288</v>
      </c>
      <c r="E81" s="53" t="s">
        <v>284</v>
      </c>
      <c r="F81" s="6" t="s">
        <v>289</v>
      </c>
      <c r="G81" s="24" t="s">
        <v>4</v>
      </c>
      <c r="H81" s="10"/>
      <c r="I81" s="10"/>
      <c r="J81" s="57" t="s">
        <v>38</v>
      </c>
      <c r="K81" s="10"/>
      <c r="L81" s="24"/>
      <c r="M81" s="10"/>
      <c r="N81" s="10"/>
    </row>
    <row r="82" spans="1:14" ht="41.25" customHeight="1">
      <c r="A82" s="6" t="s">
        <v>290</v>
      </c>
      <c r="B82" s="55" t="s">
        <v>291</v>
      </c>
      <c r="C82" s="10"/>
      <c r="D82" s="53" t="s">
        <v>292</v>
      </c>
      <c r="E82" s="53" t="s">
        <v>284</v>
      </c>
      <c r="F82" s="6" t="s">
        <v>293</v>
      </c>
      <c r="G82" s="24" t="s">
        <v>4</v>
      </c>
      <c r="H82" s="10"/>
      <c r="I82" s="10"/>
      <c r="J82" s="57" t="s">
        <v>38</v>
      </c>
      <c r="K82" s="10"/>
      <c r="L82" s="24"/>
      <c r="M82" s="10"/>
      <c r="N82" s="10"/>
    </row>
    <row r="83" spans="1:14" ht="41.25" customHeight="1">
      <c r="A83" s="6" t="s">
        <v>294</v>
      </c>
      <c r="B83" s="55" t="s">
        <v>295</v>
      </c>
      <c r="C83" s="10"/>
      <c r="D83" s="53" t="s">
        <v>296</v>
      </c>
      <c r="E83" s="53" t="s">
        <v>297</v>
      </c>
      <c r="F83" s="6" t="s">
        <v>298</v>
      </c>
      <c r="G83" s="24" t="s">
        <v>4</v>
      </c>
      <c r="H83" s="10"/>
      <c r="I83" s="10"/>
      <c r="J83" s="57" t="s">
        <v>38</v>
      </c>
      <c r="K83" s="10"/>
      <c r="L83" s="24"/>
      <c r="M83" s="10"/>
      <c r="N83" s="10"/>
    </row>
    <row r="84" spans="1:14">
      <c r="B84" s="6"/>
      <c r="C84" s="10"/>
      <c r="D84" s="9"/>
      <c r="E84" s="9"/>
      <c r="F84" s="6"/>
      <c r="G84" s="24"/>
      <c r="H84" s="10"/>
      <c r="I84" s="10"/>
      <c r="J84" s="10"/>
      <c r="K84" s="10"/>
      <c r="L84" s="24"/>
      <c r="M84" s="10"/>
      <c r="N84" s="10"/>
    </row>
    <row r="85" spans="1:14">
      <c r="A85" s="56" t="s">
        <v>299</v>
      </c>
      <c r="B85" s="33"/>
      <c r="C85" s="44" t="s">
        <v>45</v>
      </c>
      <c r="D85" s="35"/>
      <c r="E85" s="36"/>
      <c r="F85" s="37"/>
      <c r="G85" s="38"/>
      <c r="H85" s="34"/>
      <c r="I85" s="34"/>
      <c r="J85" s="34"/>
      <c r="K85" s="34"/>
      <c r="L85" s="38"/>
      <c r="M85" s="34"/>
      <c r="N85" s="34"/>
    </row>
    <row r="86" spans="1:14" ht="56.25" customHeight="1">
      <c r="A86" s="6" t="s">
        <v>300</v>
      </c>
      <c r="B86" s="55" t="s">
        <v>301</v>
      </c>
      <c r="C86" s="10"/>
      <c r="D86" s="53" t="s">
        <v>302</v>
      </c>
      <c r="E86" s="53" t="s">
        <v>303</v>
      </c>
      <c r="F86" s="6" t="s">
        <v>264</v>
      </c>
      <c r="G86" s="24" t="s">
        <v>4</v>
      </c>
      <c r="H86" s="92"/>
      <c r="I86" s="10"/>
      <c r="J86" s="57" t="s">
        <v>38</v>
      </c>
      <c r="K86" s="10"/>
      <c r="L86" s="24"/>
      <c r="M86" s="10"/>
      <c r="N86" s="10"/>
    </row>
    <row r="87" spans="1:14">
      <c r="B87" s="6"/>
      <c r="C87" s="10"/>
      <c r="D87" s="9"/>
      <c r="E87" s="9"/>
      <c r="F87" s="6"/>
      <c r="G87" s="24"/>
      <c r="H87" s="10"/>
      <c r="I87" s="10"/>
      <c r="J87" s="10"/>
      <c r="K87" s="10"/>
      <c r="L87" s="24"/>
      <c r="M87" s="10"/>
      <c r="N87" s="10"/>
    </row>
    <row r="88" spans="1:14" ht="37.5" customHeight="1">
      <c r="A88" s="56" t="s">
        <v>304</v>
      </c>
      <c r="B88" s="33"/>
      <c r="C88" s="59" t="s">
        <v>34</v>
      </c>
      <c r="D88" s="35"/>
      <c r="E88" s="36"/>
      <c r="F88" s="37"/>
      <c r="G88" s="38"/>
      <c r="H88" s="34"/>
      <c r="I88" s="34"/>
      <c r="J88" s="34"/>
      <c r="K88" s="34"/>
      <c r="L88" s="38"/>
      <c r="M88" s="34"/>
      <c r="N88" s="34"/>
    </row>
    <row r="89" spans="1:14" ht="56.25" customHeight="1">
      <c r="A89" s="6" t="s">
        <v>305</v>
      </c>
      <c r="B89" s="55" t="s">
        <v>306</v>
      </c>
      <c r="C89" s="10"/>
      <c r="D89" s="53" t="s">
        <v>307</v>
      </c>
      <c r="E89" s="53" t="s">
        <v>275</v>
      </c>
      <c r="F89" s="6" t="s">
        <v>308</v>
      </c>
      <c r="G89" s="24" t="s">
        <v>4</v>
      </c>
      <c r="H89" s="57" t="s">
        <v>38</v>
      </c>
      <c r="I89" s="10"/>
      <c r="J89" s="10"/>
      <c r="K89" s="10"/>
      <c r="L89" s="24"/>
      <c r="M89" s="10"/>
      <c r="N89" s="10"/>
    </row>
    <row r="90" spans="1:14" ht="61.5" customHeight="1">
      <c r="A90" s="6" t="s">
        <v>309</v>
      </c>
      <c r="B90" s="55" t="s">
        <v>310</v>
      </c>
      <c r="C90" s="10"/>
      <c r="D90" s="53" t="s">
        <v>311</v>
      </c>
      <c r="E90" s="53" t="s">
        <v>312</v>
      </c>
      <c r="F90" s="6" t="s">
        <v>313</v>
      </c>
      <c r="G90" s="24" t="s">
        <v>4</v>
      </c>
      <c r="H90" s="57" t="s">
        <v>38</v>
      </c>
      <c r="I90" s="10"/>
      <c r="J90" s="10"/>
      <c r="K90" s="10"/>
      <c r="L90" s="24"/>
      <c r="M90" s="10"/>
      <c r="N90" s="10"/>
    </row>
    <row r="91" spans="1:14">
      <c r="B91" s="6"/>
      <c r="C91" s="10"/>
      <c r="D91" s="9"/>
      <c r="E91" s="9"/>
      <c r="F91" s="6"/>
      <c r="G91" s="24"/>
      <c r="H91" s="10"/>
      <c r="I91" s="10"/>
      <c r="J91" s="10"/>
      <c r="K91" s="10"/>
      <c r="L91" s="24"/>
      <c r="M91" s="10"/>
      <c r="N91" s="10"/>
    </row>
    <row r="92" spans="1:14" ht="37.5" customHeight="1">
      <c r="A92" s="56" t="s">
        <v>314</v>
      </c>
      <c r="B92" s="33"/>
      <c r="C92" s="59" t="s">
        <v>34</v>
      </c>
      <c r="D92" s="35"/>
      <c r="E92" s="36"/>
      <c r="F92" s="37"/>
      <c r="G92" s="38"/>
      <c r="H92" s="34"/>
      <c r="I92" s="34"/>
      <c r="J92" s="34"/>
      <c r="K92" s="34"/>
      <c r="L92" s="38"/>
      <c r="M92" s="34"/>
      <c r="N92" s="34"/>
    </row>
    <row r="93" spans="1:14" ht="56.25" customHeight="1">
      <c r="A93" s="6" t="s">
        <v>315</v>
      </c>
      <c r="B93" s="55" t="s">
        <v>316</v>
      </c>
      <c r="C93" s="10"/>
      <c r="D93" s="53" t="s">
        <v>317</v>
      </c>
      <c r="E93" s="53" t="s">
        <v>318</v>
      </c>
      <c r="F93" s="6" t="s">
        <v>319</v>
      </c>
      <c r="G93" s="24" t="s">
        <v>4</v>
      </c>
      <c r="H93" s="92"/>
      <c r="I93" s="10"/>
      <c r="J93" s="57" t="s">
        <v>38</v>
      </c>
      <c r="K93" s="10"/>
      <c r="L93" s="24"/>
      <c r="M93" s="10"/>
      <c r="N93" s="10"/>
    </row>
    <row r="94" spans="1:14" ht="79.5" customHeight="1">
      <c r="A94" s="6" t="s">
        <v>320</v>
      </c>
      <c r="B94" s="55" t="s">
        <v>321</v>
      </c>
      <c r="C94" s="10"/>
      <c r="D94" s="53" t="s">
        <v>322</v>
      </c>
      <c r="E94" s="53" t="s">
        <v>323</v>
      </c>
      <c r="F94" s="6"/>
      <c r="G94" s="24" t="s">
        <v>4</v>
      </c>
      <c r="H94" s="10"/>
      <c r="I94" s="10"/>
      <c r="J94" s="57" t="s">
        <v>38</v>
      </c>
      <c r="K94" s="10"/>
      <c r="L94" s="24"/>
      <c r="M94" s="10"/>
      <c r="N94" s="10"/>
    </row>
    <row r="95" spans="1:14" ht="37.5" customHeight="1">
      <c r="A95" s="6" t="s">
        <v>324</v>
      </c>
      <c r="B95" s="55" t="s">
        <v>325</v>
      </c>
      <c r="C95" s="10"/>
      <c r="D95" s="53" t="s">
        <v>326</v>
      </c>
      <c r="E95" s="53" t="s">
        <v>199</v>
      </c>
      <c r="F95" s="6" t="s">
        <v>325</v>
      </c>
      <c r="G95" s="24" t="s">
        <v>4</v>
      </c>
      <c r="H95" s="10"/>
      <c r="I95" s="10"/>
      <c r="J95" s="57" t="s">
        <v>38</v>
      </c>
      <c r="K95" s="10"/>
      <c r="L95" s="24"/>
      <c r="M95" s="10"/>
      <c r="N95" s="10"/>
    </row>
    <row r="96" spans="1:14" ht="37.5" customHeight="1">
      <c r="A96" s="6" t="s">
        <v>327</v>
      </c>
      <c r="B96" s="55" t="s">
        <v>328</v>
      </c>
      <c r="C96" s="10"/>
      <c r="D96" s="53" t="s">
        <v>329</v>
      </c>
      <c r="E96" s="53" t="s">
        <v>199</v>
      </c>
      <c r="F96" s="6" t="s">
        <v>328</v>
      </c>
      <c r="G96" s="24" t="s">
        <v>4</v>
      </c>
      <c r="H96" s="10"/>
      <c r="I96" s="10"/>
      <c r="J96" s="57" t="s">
        <v>38</v>
      </c>
      <c r="K96" s="10"/>
      <c r="L96" s="24"/>
      <c r="M96" s="10"/>
      <c r="N96" s="10"/>
    </row>
    <row r="97" spans="1:14" ht="37.5" customHeight="1">
      <c r="A97" s="6" t="s">
        <v>330</v>
      </c>
      <c r="B97" s="55" t="s">
        <v>331</v>
      </c>
      <c r="C97" s="10"/>
      <c r="D97" s="53" t="s">
        <v>332</v>
      </c>
      <c r="E97" s="53" t="s">
        <v>333</v>
      </c>
      <c r="F97" s="6"/>
      <c r="G97" s="24" t="s">
        <v>4</v>
      </c>
      <c r="H97" s="10"/>
      <c r="I97" s="10"/>
      <c r="J97" s="57" t="s">
        <v>38</v>
      </c>
      <c r="K97" s="10"/>
      <c r="L97" s="24"/>
      <c r="M97" s="10"/>
      <c r="N97" s="10"/>
    </row>
    <row r="98" spans="1:14">
      <c r="B98" s="6"/>
      <c r="C98" s="10"/>
      <c r="D98" s="9"/>
      <c r="E98" s="9"/>
      <c r="F98" s="6"/>
      <c r="G98" s="24"/>
      <c r="H98" s="10"/>
      <c r="I98" s="10"/>
      <c r="J98" s="10"/>
      <c r="K98" s="10"/>
      <c r="L98" s="24"/>
      <c r="M98" s="10"/>
      <c r="N98" s="10"/>
    </row>
    <row r="99" spans="1:14" ht="37.5" customHeight="1">
      <c r="A99" s="56" t="s">
        <v>334</v>
      </c>
      <c r="B99" s="33"/>
      <c r="C99" s="59" t="s">
        <v>34</v>
      </c>
      <c r="D99" s="35"/>
      <c r="E99" s="36"/>
      <c r="F99" s="37"/>
      <c r="G99" s="38"/>
      <c r="H99" s="34"/>
      <c r="I99" s="34"/>
      <c r="J99" s="34"/>
      <c r="K99" s="34"/>
      <c r="L99" s="38"/>
      <c r="M99" s="34"/>
      <c r="N99" s="34"/>
    </row>
    <row r="100" spans="1:14" ht="56.25" customHeight="1">
      <c r="A100" s="6" t="s">
        <v>335</v>
      </c>
      <c r="B100" s="55" t="s">
        <v>336</v>
      </c>
      <c r="C100" s="10"/>
      <c r="D100" s="53" t="s">
        <v>337</v>
      </c>
      <c r="E100" s="53" t="s">
        <v>338</v>
      </c>
      <c r="F100" s="6" t="s">
        <v>339</v>
      </c>
      <c r="G100" s="24" t="s">
        <v>4</v>
      </c>
      <c r="H100" s="92"/>
      <c r="I100" s="10"/>
      <c r="J100" s="57" t="s">
        <v>38</v>
      </c>
      <c r="K100" s="10"/>
      <c r="L100" s="24"/>
      <c r="M100" s="24"/>
      <c r="N100" s="10"/>
    </row>
    <row r="101" spans="1:14">
      <c r="B101" s="6"/>
      <c r="C101" s="10"/>
      <c r="D101" s="9"/>
      <c r="E101" s="9"/>
      <c r="F101" s="6"/>
      <c r="G101" s="24"/>
      <c r="H101" s="10"/>
      <c r="I101" s="10"/>
      <c r="J101" s="10"/>
      <c r="K101" s="10"/>
      <c r="L101" s="24"/>
      <c r="M101" s="24"/>
      <c r="N101" s="10"/>
    </row>
    <row r="102" spans="1:14" ht="37.5" customHeight="1">
      <c r="A102" s="56" t="s">
        <v>340</v>
      </c>
      <c r="B102" s="33"/>
      <c r="C102" s="59" t="s">
        <v>341</v>
      </c>
      <c r="D102" s="35"/>
      <c r="E102" s="36"/>
      <c r="F102" s="37"/>
      <c r="G102" s="38"/>
      <c r="H102" s="34"/>
      <c r="I102" s="34"/>
      <c r="J102" s="34"/>
      <c r="K102" s="34"/>
      <c r="L102" s="38"/>
      <c r="M102" s="38"/>
      <c r="N102" s="34"/>
    </row>
    <row r="103" spans="1:14" ht="56.25" customHeight="1">
      <c r="A103" s="6" t="s">
        <v>342</v>
      </c>
      <c r="B103" s="55" t="s">
        <v>343</v>
      </c>
      <c r="C103" s="10"/>
      <c r="D103" s="53" t="s">
        <v>344</v>
      </c>
      <c r="E103" s="53" t="s">
        <v>345</v>
      </c>
      <c r="F103" s="6" t="s">
        <v>346</v>
      </c>
      <c r="G103" s="24" t="s">
        <v>4</v>
      </c>
      <c r="H103" s="92"/>
      <c r="I103" s="10"/>
      <c r="J103" s="57" t="s">
        <v>38</v>
      </c>
      <c r="K103" s="10"/>
      <c r="L103" s="24"/>
      <c r="M103" s="24"/>
      <c r="N103" s="10"/>
    </row>
    <row r="104" spans="1:14" ht="56.25" customHeight="1">
      <c r="A104" s="6" t="s">
        <v>347</v>
      </c>
      <c r="B104" s="55" t="s">
        <v>348</v>
      </c>
      <c r="C104" s="10"/>
      <c r="D104" s="53" t="s">
        <v>349</v>
      </c>
      <c r="E104" s="53" t="s">
        <v>350</v>
      </c>
      <c r="F104" s="6" t="s">
        <v>351</v>
      </c>
      <c r="G104" s="24" t="s">
        <v>4</v>
      </c>
      <c r="H104" s="10"/>
      <c r="I104" s="10"/>
      <c r="J104" s="57" t="s">
        <v>38</v>
      </c>
      <c r="K104" s="10"/>
      <c r="L104" s="24"/>
      <c r="M104" s="10"/>
      <c r="N104" s="10"/>
    </row>
    <row r="105" spans="1:14" ht="61.5" customHeight="1">
      <c r="A105" s="6" t="s">
        <v>352</v>
      </c>
      <c r="B105" s="55" t="s">
        <v>353</v>
      </c>
      <c r="C105" s="10"/>
      <c r="D105" s="53" t="s">
        <v>354</v>
      </c>
      <c r="E105" s="53" t="s">
        <v>355</v>
      </c>
      <c r="F105" s="6" t="s">
        <v>356</v>
      </c>
      <c r="G105" s="24" t="s">
        <v>4</v>
      </c>
      <c r="H105" s="10"/>
      <c r="I105" s="10"/>
      <c r="J105" s="57" t="s">
        <v>38</v>
      </c>
      <c r="K105" s="10"/>
      <c r="L105" s="24"/>
      <c r="M105" s="10"/>
      <c r="N105" s="10"/>
    </row>
    <row r="106" spans="1:14" ht="60" customHeight="1">
      <c r="A106" s="6" t="s">
        <v>357</v>
      </c>
      <c r="B106" s="55" t="s">
        <v>358</v>
      </c>
      <c r="C106" s="10"/>
      <c r="D106" s="53" t="s">
        <v>359</v>
      </c>
      <c r="E106" s="53" t="s">
        <v>360</v>
      </c>
      <c r="F106" s="6" t="s">
        <v>361</v>
      </c>
      <c r="G106" s="24" t="s">
        <v>4</v>
      </c>
      <c r="H106" s="10"/>
      <c r="I106" s="10"/>
      <c r="J106" s="57" t="s">
        <v>38</v>
      </c>
      <c r="K106" s="10"/>
      <c r="L106" s="24"/>
      <c r="M106" s="10" t="s">
        <v>362</v>
      </c>
      <c r="N106" s="10"/>
    </row>
    <row r="107" spans="1:14" ht="78" customHeight="1">
      <c r="A107" s="6" t="s">
        <v>363</v>
      </c>
      <c r="B107" s="55" t="s">
        <v>364</v>
      </c>
      <c r="C107" s="10"/>
      <c r="D107" s="53" t="s">
        <v>365</v>
      </c>
      <c r="E107" s="53" t="s">
        <v>176</v>
      </c>
      <c r="F107" s="6" t="s">
        <v>177</v>
      </c>
      <c r="G107" s="24" t="s">
        <v>4</v>
      </c>
      <c r="H107" s="10"/>
      <c r="I107" s="10"/>
      <c r="J107" s="57" t="s">
        <v>38</v>
      </c>
      <c r="K107" s="10"/>
      <c r="L107" s="24"/>
      <c r="M107" s="10"/>
      <c r="N107" s="10"/>
    </row>
    <row r="108" spans="1:14" ht="56.25" customHeight="1">
      <c r="A108" s="6" t="s">
        <v>366</v>
      </c>
      <c r="B108" s="55" t="s">
        <v>331</v>
      </c>
      <c r="C108" s="10"/>
      <c r="D108" s="53" t="s">
        <v>367</v>
      </c>
      <c r="E108" s="53" t="s">
        <v>333</v>
      </c>
      <c r="F108" s="6"/>
      <c r="G108" s="24" t="s">
        <v>4</v>
      </c>
      <c r="H108" s="10"/>
      <c r="I108" s="10"/>
      <c r="J108" s="57" t="s">
        <v>38</v>
      </c>
      <c r="K108" s="10"/>
      <c r="L108" s="24"/>
      <c r="M108" s="10"/>
      <c r="N108" s="10"/>
    </row>
    <row r="109" spans="1:14">
      <c r="B109" s="6"/>
      <c r="C109" s="10"/>
      <c r="D109" s="9"/>
      <c r="E109" s="9"/>
      <c r="F109" s="6"/>
      <c r="G109" s="24"/>
      <c r="H109" s="10"/>
      <c r="I109" s="10"/>
      <c r="J109" s="10"/>
      <c r="K109" s="10"/>
      <c r="L109" s="24"/>
      <c r="M109" s="10"/>
      <c r="N109" s="10"/>
    </row>
    <row r="110" spans="1:14">
      <c r="A110" s="21" t="s">
        <v>368</v>
      </c>
      <c r="B110" s="22"/>
      <c r="C110" s="62"/>
      <c r="D110" s="80"/>
      <c r="E110" s="80"/>
      <c r="F110" s="22"/>
      <c r="G110" s="28"/>
      <c r="H110" s="23"/>
      <c r="I110" s="23"/>
      <c r="J110" s="23"/>
      <c r="K110" s="23"/>
      <c r="L110" s="28"/>
      <c r="M110" s="23"/>
      <c r="N110" s="23"/>
    </row>
    <row r="111" spans="1:14" ht="56.25" customHeight="1">
      <c r="A111" s="6" t="s">
        <v>369</v>
      </c>
      <c r="B111" s="6" t="s">
        <v>370</v>
      </c>
      <c r="C111" s="10" t="s">
        <v>371</v>
      </c>
      <c r="D111" s="53" t="s">
        <v>372</v>
      </c>
      <c r="E111" s="9" t="s">
        <v>373</v>
      </c>
      <c r="F111" s="6" t="s">
        <v>374</v>
      </c>
      <c r="G111" s="24" t="s">
        <v>4</v>
      </c>
      <c r="H111" s="57" t="s">
        <v>38</v>
      </c>
      <c r="I111" s="10"/>
      <c r="J111" s="10"/>
      <c r="K111" s="10"/>
      <c r="L111" s="24"/>
      <c r="M111" s="10"/>
      <c r="N111" s="10"/>
    </row>
    <row r="112" spans="1:14" ht="37.5" customHeight="1">
      <c r="A112" s="6" t="s">
        <v>375</v>
      </c>
      <c r="B112" s="6" t="s">
        <v>229</v>
      </c>
      <c r="C112" s="10" t="s">
        <v>371</v>
      </c>
      <c r="D112" s="53" t="s">
        <v>376</v>
      </c>
      <c r="E112" s="9" t="s">
        <v>377</v>
      </c>
      <c r="F112" s="6" t="s">
        <v>378</v>
      </c>
      <c r="G112" s="24" t="s">
        <v>4</v>
      </c>
      <c r="H112" s="57" t="s">
        <v>38</v>
      </c>
      <c r="I112" s="10"/>
      <c r="J112" s="10"/>
      <c r="K112" s="10"/>
      <c r="L112" s="24"/>
      <c r="M112" s="10"/>
      <c r="N112" s="10"/>
    </row>
    <row r="113" spans="1:14" ht="75" customHeight="1">
      <c r="A113" s="6" t="s">
        <v>379</v>
      </c>
      <c r="B113" s="6" t="s">
        <v>380</v>
      </c>
      <c r="C113" s="10" t="s">
        <v>45</v>
      </c>
      <c r="D113" s="53" t="s">
        <v>381</v>
      </c>
      <c r="E113" s="9" t="s">
        <v>382</v>
      </c>
      <c r="F113" s="6" t="s">
        <v>383</v>
      </c>
      <c r="G113" s="24" t="s">
        <v>4</v>
      </c>
      <c r="H113" s="57" t="s">
        <v>38</v>
      </c>
      <c r="I113" s="10"/>
      <c r="J113" s="10"/>
      <c r="K113" s="10"/>
      <c r="L113" s="24"/>
      <c r="M113" s="10"/>
      <c r="N113" s="10"/>
    </row>
    <row r="114" spans="1:14" ht="60" customHeight="1">
      <c r="A114" s="6" t="s">
        <v>384</v>
      </c>
      <c r="B114" s="6" t="s">
        <v>385</v>
      </c>
      <c r="C114" s="10" t="s">
        <v>45</v>
      </c>
      <c r="D114" s="53" t="s">
        <v>386</v>
      </c>
      <c r="E114" s="53" t="s">
        <v>303</v>
      </c>
      <c r="F114" s="6" t="s">
        <v>264</v>
      </c>
      <c r="G114" s="24" t="s">
        <v>4</v>
      </c>
      <c r="H114" s="57"/>
      <c r="I114" s="57"/>
      <c r="J114" s="10"/>
      <c r="K114" s="10" t="s">
        <v>38</v>
      </c>
      <c r="L114" s="24"/>
      <c r="M114" s="10"/>
      <c r="N114" s="10"/>
    </row>
    <row r="115" spans="1:14" ht="60" customHeight="1">
      <c r="A115" s="6" t="s">
        <v>387</v>
      </c>
      <c r="B115" s="6" t="s">
        <v>388</v>
      </c>
      <c r="C115" s="10" t="s">
        <v>45</v>
      </c>
      <c r="D115" s="53" t="s">
        <v>389</v>
      </c>
      <c r="E115" s="9" t="s">
        <v>390</v>
      </c>
      <c r="F115" s="6" t="s">
        <v>391</v>
      </c>
      <c r="G115" s="24" t="s">
        <v>4</v>
      </c>
      <c r="H115" s="57" t="s">
        <v>38</v>
      </c>
      <c r="I115" s="92"/>
      <c r="J115" s="10"/>
      <c r="K115" s="10"/>
      <c r="L115" s="24"/>
      <c r="M115" s="10"/>
      <c r="N115" s="10"/>
    </row>
    <row r="116" spans="1:14" ht="75" customHeight="1">
      <c r="A116" s="6" t="s">
        <v>392</v>
      </c>
      <c r="B116" s="6" t="s">
        <v>393</v>
      </c>
      <c r="C116" s="10" t="s">
        <v>45</v>
      </c>
      <c r="D116" s="53" t="s">
        <v>394</v>
      </c>
      <c r="E116" s="9" t="s">
        <v>395</v>
      </c>
      <c r="F116" s="6" t="s">
        <v>396</v>
      </c>
      <c r="G116" s="24" t="s">
        <v>4</v>
      </c>
      <c r="H116" s="57" t="s">
        <v>38</v>
      </c>
      <c r="I116" s="10"/>
      <c r="J116" s="10"/>
      <c r="K116" s="10"/>
      <c r="L116" s="24"/>
      <c r="M116" s="10"/>
      <c r="N116" s="10"/>
    </row>
    <row r="117" spans="1:14">
      <c r="B117" s="6"/>
      <c r="C117" s="10"/>
      <c r="D117" s="9"/>
      <c r="E117" s="9"/>
      <c r="F117" s="6"/>
      <c r="G117" s="24"/>
      <c r="H117" s="10"/>
      <c r="I117" s="10"/>
      <c r="J117" s="10"/>
      <c r="K117" s="10"/>
      <c r="L117" s="24"/>
      <c r="M117" s="10"/>
      <c r="N117" s="10"/>
    </row>
    <row r="118" spans="1:14" ht="56.25" customHeight="1">
      <c r="A118" s="33" t="s">
        <v>397</v>
      </c>
      <c r="B118" s="33"/>
      <c r="C118" s="34" t="s">
        <v>398</v>
      </c>
      <c r="D118" s="35"/>
      <c r="E118" s="36"/>
      <c r="F118" s="37"/>
      <c r="G118" s="38"/>
      <c r="H118" s="34"/>
      <c r="I118" s="34"/>
      <c r="J118" s="34"/>
      <c r="K118" s="34"/>
      <c r="L118" s="38"/>
      <c r="M118" s="34"/>
      <c r="N118" s="34" t="s">
        <v>138</v>
      </c>
    </row>
    <row r="119" spans="1:14" ht="57" customHeight="1">
      <c r="A119" s="6" t="s">
        <v>399</v>
      </c>
      <c r="B119" s="60" t="s">
        <v>378</v>
      </c>
      <c r="C119" s="10"/>
      <c r="D119" s="9" t="s">
        <v>400</v>
      </c>
      <c r="E119" s="9" t="s">
        <v>401</v>
      </c>
      <c r="F119" s="6" t="s">
        <v>402</v>
      </c>
      <c r="G119" s="24" t="s">
        <v>4</v>
      </c>
      <c r="H119" s="10" t="s">
        <v>38</v>
      </c>
      <c r="I119" s="10"/>
      <c r="J119" s="10"/>
      <c r="K119" s="10"/>
      <c r="L119" s="24"/>
      <c r="M119" s="10"/>
      <c r="N119" s="10"/>
    </row>
    <row r="120" spans="1:14" ht="36.75" customHeight="1">
      <c r="A120" s="6" t="s">
        <v>403</v>
      </c>
      <c r="B120" s="60" t="s">
        <v>404</v>
      </c>
      <c r="C120" s="92"/>
      <c r="D120" s="9" t="s">
        <v>405</v>
      </c>
      <c r="E120" s="9" t="s">
        <v>401</v>
      </c>
      <c r="F120" s="6" t="s">
        <v>402</v>
      </c>
      <c r="G120" s="24" t="s">
        <v>4</v>
      </c>
      <c r="H120" s="10" t="s">
        <v>38</v>
      </c>
      <c r="I120" s="10"/>
      <c r="J120" s="10"/>
      <c r="K120" s="10"/>
      <c r="L120" s="24"/>
      <c r="M120" s="10"/>
      <c r="N120" s="10"/>
    </row>
    <row r="121" spans="1:14" ht="36.75" customHeight="1">
      <c r="A121" s="6" t="s">
        <v>406</v>
      </c>
      <c r="B121" s="60" t="s">
        <v>407</v>
      </c>
      <c r="C121" s="10"/>
      <c r="D121" s="9" t="s">
        <v>408</v>
      </c>
      <c r="E121" s="9" t="s">
        <v>401</v>
      </c>
      <c r="F121" s="6" t="s">
        <v>402</v>
      </c>
      <c r="G121" s="24" t="s">
        <v>4</v>
      </c>
      <c r="H121" s="10" t="s">
        <v>38</v>
      </c>
      <c r="I121" s="10"/>
      <c r="J121" s="10"/>
      <c r="K121" s="10"/>
      <c r="L121" s="24"/>
      <c r="M121" s="10"/>
      <c r="N121" s="10"/>
    </row>
    <row r="122" spans="1:14" ht="36.75" customHeight="1">
      <c r="A122" s="6" t="s">
        <v>409</v>
      </c>
      <c r="B122" s="60" t="s">
        <v>410</v>
      </c>
      <c r="C122" s="10"/>
      <c r="D122" s="9" t="s">
        <v>411</v>
      </c>
      <c r="E122" s="9" t="s">
        <v>401</v>
      </c>
      <c r="F122" s="6" t="s">
        <v>402</v>
      </c>
      <c r="G122" s="24" t="s">
        <v>4</v>
      </c>
      <c r="H122" s="10" t="s">
        <v>38</v>
      </c>
      <c r="I122" s="10"/>
      <c r="J122" s="10"/>
      <c r="K122" s="10"/>
      <c r="L122" s="24"/>
      <c r="M122" s="10"/>
      <c r="N122" s="10"/>
    </row>
    <row r="123" spans="1:14" ht="36.75" customHeight="1">
      <c r="A123" s="6" t="s">
        <v>412</v>
      </c>
      <c r="B123" s="60" t="s">
        <v>413</v>
      </c>
      <c r="C123" s="10"/>
      <c r="D123" s="9" t="s">
        <v>414</v>
      </c>
      <c r="E123" s="9" t="s">
        <v>401</v>
      </c>
      <c r="F123" s="6" t="s">
        <v>402</v>
      </c>
      <c r="G123" s="24" t="s">
        <v>4</v>
      </c>
      <c r="H123" s="10" t="s">
        <v>38</v>
      </c>
      <c r="I123" s="10"/>
      <c r="J123" s="10"/>
      <c r="K123" s="10"/>
      <c r="L123" s="24"/>
      <c r="M123" s="10"/>
      <c r="N123" s="10"/>
    </row>
    <row r="124" spans="1:14" ht="36.75" customHeight="1">
      <c r="A124" s="6" t="s">
        <v>415</v>
      </c>
      <c r="B124" s="60" t="s">
        <v>416</v>
      </c>
      <c r="C124" s="10"/>
      <c r="D124" s="9" t="s">
        <v>417</v>
      </c>
      <c r="E124" s="9" t="s">
        <v>401</v>
      </c>
      <c r="F124" s="6" t="s">
        <v>402</v>
      </c>
      <c r="G124" s="24" t="s">
        <v>4</v>
      </c>
      <c r="H124" s="10" t="s">
        <v>38</v>
      </c>
      <c r="I124" s="10"/>
      <c r="J124" s="10"/>
      <c r="K124" s="10"/>
      <c r="L124" s="24"/>
      <c r="M124" s="10"/>
      <c r="N124" s="10"/>
    </row>
    <row r="125" spans="1:14" ht="36.75" customHeight="1">
      <c r="A125" s="6" t="s">
        <v>418</v>
      </c>
      <c r="B125" s="60" t="s">
        <v>419</v>
      </c>
      <c r="C125" s="10"/>
      <c r="D125" s="9" t="s">
        <v>420</v>
      </c>
      <c r="E125" s="9" t="s">
        <v>401</v>
      </c>
      <c r="F125" s="6" t="s">
        <v>402</v>
      </c>
      <c r="G125" s="24" t="s">
        <v>4</v>
      </c>
      <c r="H125" s="10" t="s">
        <v>38</v>
      </c>
      <c r="I125" s="10"/>
      <c r="J125" s="10"/>
      <c r="K125" s="10"/>
      <c r="L125" s="24"/>
      <c r="M125" s="10"/>
      <c r="N125" s="10"/>
    </row>
    <row r="126" spans="1:14" ht="36.75" customHeight="1">
      <c r="A126" s="6" t="s">
        <v>421</v>
      </c>
      <c r="B126" s="60" t="s">
        <v>422</v>
      </c>
      <c r="C126" s="10"/>
      <c r="D126" s="9" t="s">
        <v>423</v>
      </c>
      <c r="E126" s="9" t="s">
        <v>401</v>
      </c>
      <c r="F126" s="6" t="s">
        <v>424</v>
      </c>
      <c r="G126" s="24" t="s">
        <v>4</v>
      </c>
      <c r="H126" s="10" t="s">
        <v>38</v>
      </c>
      <c r="I126" s="10"/>
      <c r="J126" s="10"/>
      <c r="K126" s="10"/>
      <c r="L126" s="24"/>
      <c r="M126" s="10"/>
      <c r="N126" s="10"/>
    </row>
    <row r="127" spans="1:14" ht="36.75" customHeight="1">
      <c r="A127" s="6" t="s">
        <v>425</v>
      </c>
      <c r="B127" s="60" t="s">
        <v>426</v>
      </c>
      <c r="C127" s="10"/>
      <c r="D127" s="9" t="s">
        <v>427</v>
      </c>
      <c r="E127" s="9" t="s">
        <v>401</v>
      </c>
      <c r="F127" s="6" t="s">
        <v>402</v>
      </c>
      <c r="G127" s="24" t="s">
        <v>4</v>
      </c>
      <c r="H127" s="10" t="s">
        <v>38</v>
      </c>
      <c r="I127" s="10"/>
      <c r="J127" s="10"/>
      <c r="K127" s="10"/>
      <c r="L127" s="24"/>
      <c r="M127" s="10"/>
      <c r="N127" s="10"/>
    </row>
    <row r="128" spans="1:14" ht="37.5" customHeight="1">
      <c r="A128" s="6" t="s">
        <v>428</v>
      </c>
      <c r="B128" s="61" t="s">
        <v>429</v>
      </c>
      <c r="C128" s="10"/>
      <c r="D128" s="9" t="s">
        <v>430</v>
      </c>
      <c r="E128" s="9" t="s">
        <v>401</v>
      </c>
      <c r="F128" s="6" t="s">
        <v>431</v>
      </c>
      <c r="G128" s="24" t="s">
        <v>4</v>
      </c>
      <c r="H128" s="10" t="s">
        <v>38</v>
      </c>
      <c r="I128" s="10"/>
      <c r="J128" s="10"/>
      <c r="K128" s="10"/>
      <c r="L128" s="24"/>
      <c r="M128" s="10"/>
      <c r="N128" s="10"/>
    </row>
    <row r="129" spans="1:14" ht="57" customHeight="1">
      <c r="A129" s="6" t="s">
        <v>432</v>
      </c>
      <c r="B129" s="6" t="s">
        <v>433</v>
      </c>
      <c r="C129" s="10"/>
      <c r="D129" s="9" t="s">
        <v>434</v>
      </c>
      <c r="E129" s="9" t="s">
        <v>435</v>
      </c>
      <c r="F129" s="6" t="s">
        <v>424</v>
      </c>
      <c r="G129" s="24" t="s">
        <v>4</v>
      </c>
      <c r="H129" s="10" t="s">
        <v>38</v>
      </c>
      <c r="I129" s="10"/>
      <c r="J129" s="10"/>
      <c r="K129" s="10"/>
      <c r="L129" s="24"/>
      <c r="M129" s="10"/>
      <c r="N129" s="10"/>
    </row>
    <row r="130" spans="1:14">
      <c r="B130" s="6"/>
      <c r="C130" s="10"/>
      <c r="D130" s="9"/>
      <c r="E130" s="9"/>
      <c r="F130" s="6"/>
      <c r="G130" s="24"/>
      <c r="H130" s="10"/>
      <c r="I130" s="10"/>
      <c r="J130" s="10"/>
      <c r="K130" s="10"/>
      <c r="L130" s="24"/>
      <c r="M130" s="10"/>
      <c r="N130" s="10"/>
    </row>
    <row r="131" spans="1:14" ht="37.5" customHeight="1">
      <c r="A131" s="33" t="s">
        <v>436</v>
      </c>
      <c r="B131" s="33"/>
      <c r="C131" s="34" t="s">
        <v>437</v>
      </c>
      <c r="D131" s="35"/>
      <c r="E131" s="36"/>
      <c r="F131" s="37"/>
      <c r="G131" s="38"/>
      <c r="H131" s="34"/>
      <c r="I131" s="34"/>
      <c r="J131" s="34"/>
      <c r="K131" s="34"/>
      <c r="L131" s="38"/>
      <c r="M131" s="34"/>
      <c r="N131" s="34" t="s">
        <v>138</v>
      </c>
    </row>
    <row r="132" spans="1:14" ht="52.5" customHeight="1">
      <c r="A132" s="6" t="s">
        <v>438</v>
      </c>
      <c r="B132" s="60" t="s">
        <v>439</v>
      </c>
      <c r="C132" s="10"/>
      <c r="D132" s="9" t="s">
        <v>400</v>
      </c>
      <c r="E132" s="9" t="s">
        <v>401</v>
      </c>
      <c r="F132" s="6" t="s">
        <v>440</v>
      </c>
      <c r="G132" s="24" t="s">
        <v>4</v>
      </c>
      <c r="H132" s="10" t="s">
        <v>38</v>
      </c>
      <c r="I132" s="10"/>
      <c r="J132" s="10"/>
      <c r="K132" s="10"/>
      <c r="L132" s="24"/>
      <c r="M132" s="10"/>
      <c r="N132" s="10"/>
    </row>
    <row r="133" spans="1:14" ht="36.75" customHeight="1">
      <c r="A133" s="6" t="s">
        <v>441</v>
      </c>
      <c r="B133" s="60" t="s">
        <v>404</v>
      </c>
      <c r="C133" s="10"/>
      <c r="D133" s="9" t="s">
        <v>405</v>
      </c>
      <c r="E133" s="9" t="s">
        <v>401</v>
      </c>
      <c r="F133" s="6" t="s">
        <v>442</v>
      </c>
      <c r="G133" s="24" t="s">
        <v>4</v>
      </c>
      <c r="H133" s="10" t="s">
        <v>38</v>
      </c>
      <c r="I133" s="10"/>
      <c r="J133" s="10"/>
      <c r="K133" s="10"/>
      <c r="L133" s="24"/>
      <c r="M133" s="10"/>
      <c r="N133" s="10"/>
    </row>
    <row r="134" spans="1:14" ht="36.75" customHeight="1">
      <c r="A134" s="6" t="s">
        <v>443</v>
      </c>
      <c r="B134" s="60" t="s">
        <v>407</v>
      </c>
      <c r="C134" s="10"/>
      <c r="D134" s="9" t="s">
        <v>408</v>
      </c>
      <c r="E134" s="9" t="s">
        <v>401</v>
      </c>
      <c r="F134" s="6" t="s">
        <v>444</v>
      </c>
      <c r="G134" s="24" t="s">
        <v>4</v>
      </c>
      <c r="H134" s="10" t="s">
        <v>38</v>
      </c>
      <c r="I134" s="10"/>
      <c r="J134" s="10"/>
      <c r="K134" s="10"/>
      <c r="L134" s="24"/>
      <c r="M134" s="10"/>
      <c r="N134" s="10"/>
    </row>
    <row r="135" spans="1:14" ht="36.75" customHeight="1">
      <c r="A135" s="6" t="s">
        <v>445</v>
      </c>
      <c r="B135" s="60" t="s">
        <v>410</v>
      </c>
      <c r="C135" s="10"/>
      <c r="D135" s="9" t="s">
        <v>411</v>
      </c>
      <c r="E135" s="9" t="s">
        <v>401</v>
      </c>
      <c r="F135" s="6" t="s">
        <v>446</v>
      </c>
      <c r="G135" s="24" t="s">
        <v>4</v>
      </c>
      <c r="H135" s="10" t="s">
        <v>38</v>
      </c>
      <c r="I135" s="10"/>
      <c r="J135" s="10"/>
      <c r="K135" s="10"/>
      <c r="L135" s="24"/>
      <c r="M135" s="10"/>
      <c r="N135" s="10"/>
    </row>
    <row r="136" spans="1:14" ht="36.75" customHeight="1">
      <c r="A136" s="6" t="s">
        <v>447</v>
      </c>
      <c r="B136" s="60" t="s">
        <v>413</v>
      </c>
      <c r="C136" s="10"/>
      <c r="D136" s="9" t="s">
        <v>414</v>
      </c>
      <c r="E136" s="9" t="s">
        <v>401</v>
      </c>
      <c r="F136" s="6" t="s">
        <v>448</v>
      </c>
      <c r="G136" s="24" t="s">
        <v>4</v>
      </c>
      <c r="H136" s="10" t="s">
        <v>38</v>
      </c>
      <c r="I136" s="10"/>
      <c r="J136" s="10"/>
      <c r="K136" s="10"/>
      <c r="L136" s="24"/>
      <c r="M136" s="10"/>
      <c r="N136" s="10"/>
    </row>
    <row r="137" spans="1:14" ht="36.75" customHeight="1">
      <c r="A137" s="6" t="s">
        <v>449</v>
      </c>
      <c r="B137" s="60" t="s">
        <v>416</v>
      </c>
      <c r="C137" s="10"/>
      <c r="D137" s="9" t="s">
        <v>417</v>
      </c>
      <c r="E137" s="9" t="s">
        <v>401</v>
      </c>
      <c r="F137" s="6" t="s">
        <v>448</v>
      </c>
      <c r="G137" s="24" t="s">
        <v>4</v>
      </c>
      <c r="H137" s="10" t="s">
        <v>38</v>
      </c>
      <c r="I137" s="10"/>
      <c r="J137" s="10"/>
      <c r="K137" s="10"/>
      <c r="L137" s="24"/>
      <c r="M137" s="10"/>
      <c r="N137" s="10"/>
    </row>
    <row r="138" spans="1:14" ht="36.75" customHeight="1">
      <c r="A138" s="6" t="s">
        <v>450</v>
      </c>
      <c r="B138" s="60" t="s">
        <v>419</v>
      </c>
      <c r="C138" s="10"/>
      <c r="D138" s="9" t="s">
        <v>420</v>
      </c>
      <c r="E138" s="9" t="s">
        <v>401</v>
      </c>
      <c r="F138" s="6" t="s">
        <v>446</v>
      </c>
      <c r="G138" s="24" t="s">
        <v>4</v>
      </c>
      <c r="H138" s="10" t="s">
        <v>38</v>
      </c>
      <c r="I138" s="10"/>
      <c r="J138" s="10"/>
      <c r="K138" s="10"/>
      <c r="L138" s="24"/>
      <c r="M138" s="10"/>
      <c r="N138" s="10"/>
    </row>
    <row r="139" spans="1:14" ht="36.75" customHeight="1">
      <c r="A139" s="6" t="s">
        <v>451</v>
      </c>
      <c r="B139" s="60" t="s">
        <v>422</v>
      </c>
      <c r="C139" s="10"/>
      <c r="D139" s="9" t="s">
        <v>423</v>
      </c>
      <c r="E139" s="9" t="s">
        <v>401</v>
      </c>
      <c r="F139" s="6" t="s">
        <v>452</v>
      </c>
      <c r="G139" s="24" t="s">
        <v>4</v>
      </c>
      <c r="H139" s="10" t="s">
        <v>38</v>
      </c>
      <c r="I139" s="10"/>
      <c r="J139" s="10"/>
      <c r="K139" s="10"/>
      <c r="L139" s="24"/>
      <c r="M139" s="10"/>
      <c r="N139" s="10"/>
    </row>
    <row r="140" spans="1:14" ht="36.75" customHeight="1">
      <c r="A140" s="6" t="s">
        <v>453</v>
      </c>
      <c r="B140" s="60" t="s">
        <v>454</v>
      </c>
      <c r="C140" s="10"/>
      <c r="D140" s="9" t="s">
        <v>455</v>
      </c>
      <c r="E140" s="9" t="s">
        <v>401</v>
      </c>
      <c r="F140" s="6" t="s">
        <v>456</v>
      </c>
      <c r="G140" s="24" t="s">
        <v>4</v>
      </c>
      <c r="H140" s="10" t="s">
        <v>38</v>
      </c>
      <c r="I140" s="10"/>
      <c r="J140" s="10"/>
      <c r="K140" s="10"/>
      <c r="L140" s="24"/>
      <c r="M140" s="10"/>
      <c r="N140" s="10"/>
    </row>
    <row r="141" spans="1:14" ht="36.75" customHeight="1">
      <c r="A141" s="6" t="s">
        <v>457</v>
      </c>
      <c r="B141" s="60" t="s">
        <v>426</v>
      </c>
      <c r="C141" s="10"/>
      <c r="D141" s="9" t="s">
        <v>427</v>
      </c>
      <c r="E141" s="9" t="s">
        <v>401</v>
      </c>
      <c r="F141" s="6" t="s">
        <v>458</v>
      </c>
      <c r="G141" s="24" t="s">
        <v>4</v>
      </c>
      <c r="H141" s="10" t="s">
        <v>38</v>
      </c>
      <c r="I141" s="10"/>
      <c r="J141" s="10"/>
      <c r="K141" s="10"/>
      <c r="L141" s="24"/>
      <c r="M141" s="10"/>
      <c r="N141" s="10"/>
    </row>
    <row r="142" spans="1:14" ht="36.75" customHeight="1">
      <c r="A142" s="6" t="s">
        <v>459</v>
      </c>
      <c r="B142" s="61" t="s">
        <v>429</v>
      </c>
      <c r="C142" s="10"/>
      <c r="D142" s="9" t="s">
        <v>430</v>
      </c>
      <c r="E142" s="9" t="s">
        <v>401</v>
      </c>
      <c r="F142" s="6" t="s">
        <v>448</v>
      </c>
      <c r="G142" s="24" t="s">
        <v>4</v>
      </c>
      <c r="H142" s="10" t="s">
        <v>38</v>
      </c>
      <c r="I142" s="10"/>
      <c r="J142" s="10"/>
      <c r="K142" s="10"/>
      <c r="L142" s="24"/>
      <c r="M142" s="10"/>
      <c r="N142" s="10"/>
    </row>
    <row r="143" spans="1:14" ht="56.25" customHeight="1">
      <c r="A143" s="6" t="s">
        <v>460</v>
      </c>
      <c r="B143" s="6" t="s">
        <v>433</v>
      </c>
      <c r="C143" s="10"/>
      <c r="D143" s="9" t="s">
        <v>434</v>
      </c>
      <c r="E143" s="9" t="s">
        <v>435</v>
      </c>
      <c r="F143" s="6" t="s">
        <v>461</v>
      </c>
      <c r="G143" s="24" t="s">
        <v>4</v>
      </c>
      <c r="H143" s="10" t="s">
        <v>38</v>
      </c>
      <c r="I143" s="10"/>
      <c r="J143" s="10"/>
      <c r="K143" s="10"/>
      <c r="L143" s="24"/>
      <c r="M143" s="10"/>
      <c r="N143" s="10"/>
    </row>
    <row r="144" spans="1:14">
      <c r="B144" s="6"/>
      <c r="C144" s="10"/>
      <c r="D144" s="9"/>
      <c r="E144" s="9"/>
      <c r="F144" s="6"/>
      <c r="G144" s="24"/>
      <c r="H144" s="10"/>
      <c r="I144" s="10"/>
      <c r="J144" s="10"/>
      <c r="K144" s="10"/>
      <c r="L144" s="24"/>
      <c r="M144" s="10"/>
      <c r="N144" s="10"/>
    </row>
    <row r="145" spans="1:14" ht="37.5" customHeight="1">
      <c r="A145" s="33" t="s">
        <v>462</v>
      </c>
      <c r="B145" s="33"/>
      <c r="C145" s="34" t="s">
        <v>463</v>
      </c>
      <c r="D145" s="35"/>
      <c r="E145" s="36"/>
      <c r="F145" s="37"/>
      <c r="G145" s="38"/>
      <c r="H145" s="34"/>
      <c r="I145" s="34"/>
      <c r="J145" s="34"/>
      <c r="K145" s="34"/>
      <c r="L145" s="38"/>
      <c r="M145" s="34"/>
      <c r="N145" s="34"/>
    </row>
    <row r="146" spans="1:14" ht="60.75" customHeight="1">
      <c r="A146" s="6" t="s">
        <v>464</v>
      </c>
      <c r="B146" s="6" t="s">
        <v>465</v>
      </c>
      <c r="C146" s="10"/>
      <c r="D146" s="53" t="s">
        <v>466</v>
      </c>
      <c r="E146" s="9" t="s">
        <v>177</v>
      </c>
      <c r="F146" s="6" t="s">
        <v>177</v>
      </c>
      <c r="G146" s="24" t="s">
        <v>4</v>
      </c>
      <c r="H146" s="10"/>
      <c r="I146" s="10"/>
      <c r="J146" s="10" t="s">
        <v>38</v>
      </c>
      <c r="K146" s="10"/>
      <c r="L146" s="24"/>
      <c r="M146" s="10"/>
      <c r="N146" s="10"/>
    </row>
    <row r="147" spans="1:14">
      <c r="B147" s="6"/>
      <c r="C147" s="10"/>
      <c r="D147" s="9"/>
      <c r="E147" s="9"/>
      <c r="F147" s="6"/>
      <c r="G147" s="24"/>
      <c r="H147" s="10"/>
      <c r="I147" s="10"/>
      <c r="J147" s="10"/>
      <c r="K147" s="10"/>
      <c r="L147" s="24"/>
      <c r="M147" s="10"/>
      <c r="N147" s="10"/>
    </row>
    <row r="148" spans="1:14" ht="37.5" customHeight="1">
      <c r="A148" s="33" t="s">
        <v>467</v>
      </c>
      <c r="B148" s="33"/>
      <c r="C148" s="34" t="s">
        <v>463</v>
      </c>
      <c r="D148" s="35"/>
      <c r="E148" s="36"/>
      <c r="F148" s="37"/>
      <c r="G148" s="38"/>
      <c r="H148" s="34"/>
      <c r="I148" s="34"/>
      <c r="J148" s="34"/>
      <c r="K148" s="34"/>
      <c r="L148" s="38"/>
      <c r="M148" s="34"/>
      <c r="N148" s="34"/>
    </row>
    <row r="149" spans="1:14" ht="37.5" customHeight="1">
      <c r="A149" s="6" t="s">
        <v>468</v>
      </c>
      <c r="B149" s="6" t="s">
        <v>469</v>
      </c>
      <c r="C149" s="10"/>
      <c r="D149" s="9" t="s">
        <v>470</v>
      </c>
      <c r="E149" s="9" t="s">
        <v>471</v>
      </c>
      <c r="F149" s="6" t="s">
        <v>472</v>
      </c>
      <c r="G149" s="24" t="s">
        <v>4</v>
      </c>
      <c r="H149" s="10" t="s">
        <v>38</v>
      </c>
      <c r="I149" s="10"/>
      <c r="J149" s="10"/>
      <c r="K149" s="10"/>
      <c r="L149" s="24"/>
      <c r="M149" s="10"/>
      <c r="N149" s="10"/>
    </row>
    <row r="150" spans="1:14" ht="191.25" customHeight="1">
      <c r="A150" s="6" t="s">
        <v>473</v>
      </c>
      <c r="B150" s="6" t="s">
        <v>474</v>
      </c>
      <c r="C150" s="10"/>
      <c r="D150" s="9" t="s">
        <v>475</v>
      </c>
      <c r="E150" s="54" t="s">
        <v>476</v>
      </c>
      <c r="F150" s="9" t="s">
        <v>477</v>
      </c>
      <c r="G150" s="24" t="s">
        <v>4</v>
      </c>
      <c r="H150" s="10" t="s">
        <v>38</v>
      </c>
      <c r="I150" s="10"/>
      <c r="J150" s="10" t="s">
        <v>38</v>
      </c>
      <c r="K150" s="10"/>
      <c r="L150" s="24"/>
      <c r="M150" s="10"/>
      <c r="N150" s="10"/>
    </row>
    <row r="151" spans="1:14" ht="37.5" customHeight="1">
      <c r="A151" s="6" t="s">
        <v>478</v>
      </c>
      <c r="B151" s="6" t="s">
        <v>479</v>
      </c>
      <c r="C151" s="10"/>
      <c r="D151" s="9" t="s">
        <v>480</v>
      </c>
      <c r="E151" s="54" t="s">
        <v>476</v>
      </c>
      <c r="F151" s="9" t="s">
        <v>481</v>
      </c>
      <c r="G151" s="24" t="s">
        <v>4</v>
      </c>
      <c r="H151" s="10"/>
      <c r="I151" s="10"/>
      <c r="J151" s="10" t="s">
        <v>38</v>
      </c>
      <c r="K151" s="10"/>
      <c r="L151" s="24"/>
      <c r="M151" s="10"/>
      <c r="N151" s="10"/>
    </row>
    <row r="152" spans="1:14" ht="37.5" customHeight="1">
      <c r="A152" s="6" t="s">
        <v>482</v>
      </c>
      <c r="B152" s="6" t="s">
        <v>483</v>
      </c>
      <c r="C152" s="10"/>
      <c r="D152" s="9" t="s">
        <v>484</v>
      </c>
      <c r="E152" s="54" t="s">
        <v>476</v>
      </c>
      <c r="F152" s="9" t="s">
        <v>485</v>
      </c>
      <c r="G152" s="24" t="s">
        <v>4</v>
      </c>
      <c r="H152" s="10"/>
      <c r="I152" s="10"/>
      <c r="J152" s="10" t="s">
        <v>38</v>
      </c>
      <c r="K152" s="10"/>
      <c r="L152" s="24"/>
      <c r="M152" s="10"/>
      <c r="N152" s="10"/>
    </row>
    <row r="153" spans="1:14" ht="37.5" customHeight="1">
      <c r="A153" s="6" t="s">
        <v>486</v>
      </c>
      <c r="B153" s="6" t="s">
        <v>487</v>
      </c>
      <c r="C153" s="10"/>
      <c r="D153" s="9" t="s">
        <v>488</v>
      </c>
      <c r="E153" s="54" t="s">
        <v>489</v>
      </c>
      <c r="F153" s="9" t="s">
        <v>490</v>
      </c>
      <c r="G153" s="24" t="s">
        <v>4</v>
      </c>
      <c r="H153" s="10"/>
      <c r="I153" s="10"/>
      <c r="J153" s="10" t="s">
        <v>38</v>
      </c>
      <c r="K153" s="10"/>
      <c r="L153" s="24"/>
      <c r="M153" s="10"/>
      <c r="N153" s="10"/>
    </row>
    <row r="154" spans="1:14" ht="37.5" customHeight="1">
      <c r="A154" s="6" t="s">
        <v>491</v>
      </c>
      <c r="B154" s="6" t="s">
        <v>492</v>
      </c>
      <c r="C154" s="10"/>
      <c r="D154" s="9" t="s">
        <v>493</v>
      </c>
      <c r="E154" s="54" t="s">
        <v>476</v>
      </c>
      <c r="F154" s="9" t="s">
        <v>477</v>
      </c>
      <c r="G154" s="24" t="s">
        <v>4</v>
      </c>
      <c r="H154" s="10"/>
      <c r="I154" s="10"/>
      <c r="J154" s="10" t="s">
        <v>38</v>
      </c>
      <c r="K154" s="10"/>
      <c r="L154" s="24"/>
      <c r="M154" s="10"/>
      <c r="N154" s="10"/>
    </row>
    <row r="155" spans="1:14" ht="37.5" customHeight="1">
      <c r="A155" s="6" t="s">
        <v>494</v>
      </c>
      <c r="B155" s="6" t="s">
        <v>495</v>
      </c>
      <c r="C155" s="10"/>
      <c r="D155" s="9" t="s">
        <v>496</v>
      </c>
      <c r="E155" s="54" t="s">
        <v>497</v>
      </c>
      <c r="F155" s="9" t="s">
        <v>498</v>
      </c>
      <c r="G155" s="24" t="s">
        <v>4</v>
      </c>
      <c r="H155" s="10"/>
      <c r="I155" s="10"/>
      <c r="J155" s="10" t="s">
        <v>38</v>
      </c>
      <c r="K155" s="10"/>
      <c r="L155" s="24"/>
      <c r="M155" s="10"/>
      <c r="N155" s="10"/>
    </row>
    <row r="156" spans="1:14" ht="37.5" customHeight="1">
      <c r="A156" s="6" t="s">
        <v>499</v>
      </c>
      <c r="B156" s="6" t="s">
        <v>500</v>
      </c>
      <c r="C156" s="10"/>
      <c r="D156" s="9" t="s">
        <v>501</v>
      </c>
      <c r="E156" s="54" t="s">
        <v>502</v>
      </c>
      <c r="F156" s="9" t="s">
        <v>356</v>
      </c>
      <c r="G156" s="24" t="s">
        <v>4</v>
      </c>
      <c r="H156" s="10"/>
      <c r="I156" s="10"/>
      <c r="J156" s="10" t="s">
        <v>38</v>
      </c>
      <c r="K156" s="10"/>
      <c r="L156" s="24"/>
      <c r="M156" s="10"/>
      <c r="N156" s="10"/>
    </row>
    <row r="157" spans="1:14" ht="37.5" customHeight="1">
      <c r="A157" s="6" t="s">
        <v>503</v>
      </c>
      <c r="B157" s="6" t="s">
        <v>504</v>
      </c>
      <c r="C157" s="10"/>
      <c r="D157" s="9" t="s">
        <v>505</v>
      </c>
      <c r="E157" s="54" t="s">
        <v>476</v>
      </c>
      <c r="F157" s="9" t="s">
        <v>506</v>
      </c>
      <c r="G157" s="24" t="s">
        <v>4</v>
      </c>
      <c r="H157" s="10"/>
      <c r="I157" s="10"/>
      <c r="J157" s="10" t="s">
        <v>38</v>
      </c>
      <c r="K157" s="10"/>
      <c r="L157" s="24"/>
      <c r="M157" s="10"/>
      <c r="N157" s="10"/>
    </row>
    <row r="158" spans="1:14" ht="37.5" customHeight="1">
      <c r="A158" s="6" t="s">
        <v>507</v>
      </c>
      <c r="B158" s="6" t="s">
        <v>508</v>
      </c>
      <c r="C158" s="10"/>
      <c r="D158" s="9" t="s">
        <v>509</v>
      </c>
      <c r="E158" s="54" t="s">
        <v>476</v>
      </c>
      <c r="F158" s="9" t="s">
        <v>356</v>
      </c>
      <c r="G158" s="24" t="s">
        <v>4</v>
      </c>
      <c r="H158" s="10"/>
      <c r="I158" s="10"/>
      <c r="J158" s="10" t="s">
        <v>38</v>
      </c>
      <c r="K158" s="10"/>
      <c r="L158" s="24"/>
      <c r="M158" s="10"/>
      <c r="N158" s="10"/>
    </row>
    <row r="159" spans="1:14" ht="37.5" customHeight="1">
      <c r="A159" s="6" t="s">
        <v>510</v>
      </c>
      <c r="B159" s="6" t="s">
        <v>511</v>
      </c>
      <c r="C159" s="10"/>
      <c r="D159" s="9" t="s">
        <v>512</v>
      </c>
      <c r="E159" s="54" t="s">
        <v>502</v>
      </c>
      <c r="F159" s="9" t="s">
        <v>513</v>
      </c>
      <c r="G159" s="24" t="s">
        <v>4</v>
      </c>
      <c r="H159" s="10"/>
      <c r="I159" s="10"/>
      <c r="J159" s="10" t="s">
        <v>38</v>
      </c>
      <c r="K159" s="10"/>
      <c r="L159" s="24"/>
      <c r="M159" s="10"/>
      <c r="N159" s="10"/>
    </row>
    <row r="160" spans="1:14" ht="56.25" customHeight="1">
      <c r="A160" s="6" t="s">
        <v>514</v>
      </c>
      <c r="B160" s="6" t="s">
        <v>515</v>
      </c>
      <c r="C160" s="10"/>
      <c r="D160" s="53" t="s">
        <v>516</v>
      </c>
      <c r="E160" s="53" t="s">
        <v>517</v>
      </c>
      <c r="F160" s="9"/>
      <c r="G160" s="24" t="s">
        <v>4</v>
      </c>
      <c r="H160" s="10"/>
      <c r="I160" s="10"/>
      <c r="J160" s="10" t="s">
        <v>38</v>
      </c>
      <c r="K160" s="10"/>
      <c r="L160" s="24"/>
      <c r="M160" s="10"/>
      <c r="N160" s="10"/>
    </row>
    <row r="161" spans="1:14">
      <c r="B161" s="6"/>
      <c r="C161" s="10"/>
      <c r="D161" s="9"/>
      <c r="E161" s="9"/>
      <c r="F161" s="6"/>
      <c r="G161" s="24"/>
      <c r="H161" s="10"/>
      <c r="I161" s="10"/>
      <c r="J161" s="10"/>
      <c r="K161" s="10"/>
      <c r="L161" s="24"/>
      <c r="M161" s="10"/>
      <c r="N161" s="10"/>
    </row>
    <row r="162" spans="1:14" ht="37.5" customHeight="1">
      <c r="A162" s="56" t="s">
        <v>518</v>
      </c>
      <c r="B162" s="33"/>
      <c r="C162" s="34" t="s">
        <v>463</v>
      </c>
      <c r="D162" s="35"/>
      <c r="E162" s="36"/>
      <c r="F162" s="37"/>
      <c r="G162" s="38"/>
      <c r="H162" s="34"/>
      <c r="I162" s="34"/>
      <c r="J162" s="34"/>
      <c r="K162" s="34"/>
      <c r="L162" s="38"/>
      <c r="M162" s="34"/>
      <c r="N162" s="34"/>
    </row>
    <row r="163" spans="1:14" ht="37.5" customHeight="1">
      <c r="A163" s="6" t="s">
        <v>519</v>
      </c>
      <c r="B163" s="55" t="s">
        <v>520</v>
      </c>
      <c r="C163" s="10"/>
      <c r="D163" s="53" t="s">
        <v>521</v>
      </c>
      <c r="E163" s="53" t="s">
        <v>522</v>
      </c>
      <c r="F163" s="6" t="s">
        <v>523</v>
      </c>
      <c r="G163" s="24" t="s">
        <v>4</v>
      </c>
      <c r="H163" s="10"/>
      <c r="I163" s="10"/>
      <c r="J163" s="10"/>
      <c r="K163" s="10" t="s">
        <v>38</v>
      </c>
      <c r="L163" s="24"/>
      <c r="M163" s="10"/>
      <c r="N163" s="10"/>
    </row>
    <row r="164" spans="1:14">
      <c r="B164" s="6"/>
      <c r="C164" s="10"/>
      <c r="D164" s="9"/>
      <c r="E164" s="9"/>
      <c r="F164" s="6"/>
      <c r="G164" s="24"/>
      <c r="H164" s="10"/>
      <c r="I164" s="10"/>
      <c r="J164" s="10"/>
      <c r="K164" s="10"/>
      <c r="L164" s="24"/>
      <c r="M164" s="10"/>
      <c r="N164" s="10"/>
    </row>
    <row r="165" spans="1:14" ht="37.5" customHeight="1">
      <c r="A165" s="56" t="s">
        <v>524</v>
      </c>
      <c r="B165" s="33"/>
      <c r="C165" s="34" t="s">
        <v>463</v>
      </c>
      <c r="D165" s="35"/>
      <c r="E165" s="36"/>
      <c r="F165" s="37"/>
      <c r="G165" s="38"/>
      <c r="H165" s="34"/>
      <c r="I165" s="34"/>
      <c r="J165" s="34"/>
      <c r="K165" s="34"/>
      <c r="L165" s="38"/>
      <c r="M165" s="34"/>
      <c r="N165" s="34"/>
    </row>
    <row r="166" spans="1:14" ht="37.5" customHeight="1">
      <c r="A166" s="6" t="s">
        <v>525</v>
      </c>
      <c r="B166" s="55" t="s">
        <v>526</v>
      </c>
      <c r="C166" s="10"/>
      <c r="D166" s="53" t="s">
        <v>527</v>
      </c>
      <c r="E166" s="53" t="s">
        <v>528</v>
      </c>
      <c r="F166" s="6" t="s">
        <v>526</v>
      </c>
      <c r="G166" s="24" t="s">
        <v>4</v>
      </c>
      <c r="H166" s="10"/>
      <c r="I166" s="10" t="s">
        <v>38</v>
      </c>
      <c r="J166" s="10"/>
      <c r="K166" s="10"/>
      <c r="L166" s="24"/>
      <c r="M166" s="10"/>
      <c r="N166" s="10"/>
    </row>
    <row r="167" spans="1:14" ht="78" customHeight="1">
      <c r="A167" s="6" t="s">
        <v>529</v>
      </c>
      <c r="B167" s="55" t="s">
        <v>530</v>
      </c>
      <c r="C167" s="10"/>
      <c r="D167" s="53" t="s">
        <v>531</v>
      </c>
      <c r="E167" s="53" t="s">
        <v>532</v>
      </c>
      <c r="F167" s="6" t="s">
        <v>533</v>
      </c>
      <c r="G167" s="24" t="s">
        <v>4</v>
      </c>
      <c r="H167" s="10"/>
      <c r="I167" s="10" t="s">
        <v>38</v>
      </c>
      <c r="J167" s="10"/>
      <c r="K167" s="10"/>
      <c r="L167" s="24"/>
      <c r="M167" s="10"/>
      <c r="N167" s="10"/>
    </row>
    <row r="168" spans="1:14" ht="75" customHeight="1">
      <c r="A168" s="6" t="s">
        <v>534</v>
      </c>
      <c r="B168" s="53" t="s">
        <v>535</v>
      </c>
      <c r="C168" s="10"/>
      <c r="D168" s="53" t="s">
        <v>536</v>
      </c>
      <c r="E168" s="53" t="s">
        <v>537</v>
      </c>
      <c r="F168" s="6" t="s">
        <v>538</v>
      </c>
      <c r="G168" s="24" t="s">
        <v>4</v>
      </c>
      <c r="H168" s="10"/>
      <c r="I168" s="10" t="s">
        <v>38</v>
      </c>
      <c r="J168" s="10"/>
      <c r="K168" s="10"/>
      <c r="L168" s="24"/>
      <c r="M168" s="10"/>
      <c r="N168" s="10"/>
    </row>
    <row r="169" spans="1:14" ht="93.75" customHeight="1">
      <c r="A169" s="6" t="s">
        <v>539</v>
      </c>
      <c r="B169" s="53" t="s">
        <v>540</v>
      </c>
      <c r="C169" s="10"/>
      <c r="D169" s="53" t="s">
        <v>536</v>
      </c>
      <c r="E169" s="53" t="s">
        <v>541</v>
      </c>
      <c r="F169" s="6" t="s">
        <v>542</v>
      </c>
      <c r="G169" s="24" t="s">
        <v>4</v>
      </c>
      <c r="H169" s="10"/>
      <c r="I169" s="10" t="s">
        <v>38</v>
      </c>
      <c r="J169" s="10"/>
      <c r="K169" s="10"/>
      <c r="L169" s="24"/>
      <c r="M169" s="10"/>
      <c r="N169" s="10"/>
    </row>
    <row r="170" spans="1:14">
      <c r="B170" s="6"/>
      <c r="C170" s="10"/>
      <c r="D170" s="9"/>
      <c r="E170" s="9"/>
      <c r="F170" s="6"/>
      <c r="G170" s="24"/>
      <c r="H170" s="10"/>
      <c r="I170" s="10"/>
      <c r="J170" s="10"/>
      <c r="K170" s="10"/>
      <c r="L170" s="24"/>
      <c r="M170" s="10"/>
      <c r="N170" s="10"/>
    </row>
    <row r="171" spans="1:14">
      <c r="A171" s="56" t="s">
        <v>543</v>
      </c>
      <c r="B171" s="33"/>
      <c r="C171" s="59"/>
      <c r="D171" s="35"/>
      <c r="E171" s="36"/>
      <c r="F171" s="37"/>
      <c r="G171" s="38"/>
      <c r="H171" s="34"/>
      <c r="I171" s="34"/>
      <c r="J171" s="34"/>
      <c r="K171" s="34"/>
      <c r="L171" s="38"/>
      <c r="M171" s="34"/>
      <c r="N171" s="34"/>
    </row>
    <row r="172" spans="1:14" ht="98.25" customHeight="1">
      <c r="A172" s="6" t="s">
        <v>544</v>
      </c>
      <c r="B172" s="31" t="s">
        <v>545</v>
      </c>
      <c r="C172" s="57" t="s">
        <v>463</v>
      </c>
      <c r="D172" s="32" t="s">
        <v>546</v>
      </c>
      <c r="E172" s="83" t="s">
        <v>547</v>
      </c>
      <c r="F172" s="2" t="s">
        <v>548</v>
      </c>
      <c r="G172" s="24" t="s">
        <v>4</v>
      </c>
      <c r="H172" s="10" t="s">
        <v>38</v>
      </c>
      <c r="I172" s="92"/>
      <c r="J172" s="10"/>
      <c r="K172" s="10"/>
      <c r="L172" s="24"/>
      <c r="M172" s="10"/>
      <c r="N172" s="10"/>
    </row>
    <row r="173" spans="1:14" ht="56.25" customHeight="1">
      <c r="A173" s="6" t="s">
        <v>549</v>
      </c>
      <c r="B173" s="6" t="s">
        <v>550</v>
      </c>
      <c r="C173" s="57" t="s">
        <v>551</v>
      </c>
      <c r="D173" s="53" t="s">
        <v>552</v>
      </c>
      <c r="E173" s="9" t="s">
        <v>553</v>
      </c>
      <c r="F173" s="6" t="s">
        <v>554</v>
      </c>
      <c r="G173" s="24" t="s">
        <v>4</v>
      </c>
      <c r="H173" s="10" t="s">
        <v>38</v>
      </c>
      <c r="I173" s="10"/>
      <c r="J173" s="10"/>
      <c r="K173" s="10"/>
      <c r="L173" s="24"/>
      <c r="M173" s="10"/>
      <c r="N173" s="10"/>
    </row>
    <row r="174" spans="1:14">
      <c r="A174" s="92"/>
      <c r="B174" s="6"/>
      <c r="C174" s="10"/>
      <c r="D174" s="9"/>
      <c r="E174" s="9"/>
      <c r="F174" s="6"/>
      <c r="G174" s="24"/>
      <c r="H174" s="10"/>
      <c r="I174" s="10"/>
      <c r="J174" s="10"/>
      <c r="K174" s="10"/>
      <c r="L174" s="24"/>
      <c r="M174" s="10"/>
      <c r="N174" s="10"/>
    </row>
    <row r="175" spans="1:14">
      <c r="A175" s="56" t="s">
        <v>555</v>
      </c>
      <c r="B175" s="33"/>
      <c r="C175" s="59"/>
      <c r="D175" s="35"/>
      <c r="E175" s="36"/>
      <c r="F175" s="37"/>
      <c r="G175" s="38"/>
      <c r="H175" s="34"/>
      <c r="I175" s="34"/>
      <c r="J175" s="34"/>
      <c r="K175" s="34"/>
      <c r="L175" s="38"/>
      <c r="M175" s="34"/>
      <c r="N175" s="34"/>
    </row>
    <row r="176" spans="1:14" ht="112.5" customHeight="1">
      <c r="A176" s="6" t="s">
        <v>556</v>
      </c>
      <c r="B176" s="6" t="s">
        <v>557</v>
      </c>
      <c r="C176" s="57" t="s">
        <v>463</v>
      </c>
      <c r="D176" s="53" t="s">
        <v>558</v>
      </c>
      <c r="E176" s="9" t="s">
        <v>559</v>
      </c>
      <c r="F176" s="6"/>
      <c r="G176" s="24" t="s">
        <v>4</v>
      </c>
      <c r="H176" s="10"/>
      <c r="I176" s="10" t="s">
        <v>38</v>
      </c>
      <c r="J176" s="10"/>
      <c r="K176" s="10"/>
      <c r="L176" s="24"/>
      <c r="M176" s="10"/>
      <c r="N176" s="10"/>
    </row>
    <row r="177" spans="1:14" ht="37.5" customHeight="1">
      <c r="A177" s="6" t="s">
        <v>560</v>
      </c>
      <c r="B177" s="6" t="s">
        <v>561</v>
      </c>
      <c r="C177" s="57"/>
      <c r="D177" s="53"/>
      <c r="E177" s="53" t="s">
        <v>562</v>
      </c>
      <c r="F177" s="6" t="s">
        <v>563</v>
      </c>
      <c r="G177" s="24" t="s">
        <v>4</v>
      </c>
      <c r="H177" s="10"/>
      <c r="I177" s="10" t="s">
        <v>38</v>
      </c>
      <c r="J177" s="10"/>
      <c r="K177" s="10"/>
      <c r="L177" s="24"/>
      <c r="M177" s="10"/>
      <c r="N177" s="10"/>
    </row>
    <row r="178" spans="1:14" ht="37.5" customHeight="1">
      <c r="A178" s="6" t="s">
        <v>564</v>
      </c>
      <c r="B178" s="55" t="s">
        <v>565</v>
      </c>
      <c r="C178" s="10"/>
      <c r="D178" s="9"/>
      <c r="E178" s="53" t="s">
        <v>566</v>
      </c>
      <c r="F178" s="6" t="s">
        <v>567</v>
      </c>
      <c r="G178" s="24" t="s">
        <v>4</v>
      </c>
      <c r="H178" s="10"/>
      <c r="I178" s="10" t="s">
        <v>38</v>
      </c>
      <c r="J178" s="10"/>
      <c r="K178" s="10"/>
      <c r="L178" s="24"/>
      <c r="M178" s="10"/>
      <c r="N178" s="10"/>
    </row>
    <row r="179" spans="1:14" ht="37.5" customHeight="1">
      <c r="A179" s="6" t="s">
        <v>568</v>
      </c>
      <c r="B179" s="55" t="s">
        <v>569</v>
      </c>
      <c r="C179" s="10"/>
      <c r="D179" s="9"/>
      <c r="E179" s="53" t="s">
        <v>570</v>
      </c>
      <c r="F179" s="6" t="s">
        <v>571</v>
      </c>
      <c r="G179" s="24" t="s">
        <v>4</v>
      </c>
      <c r="H179" s="10"/>
      <c r="I179" s="10" t="s">
        <v>38</v>
      </c>
      <c r="J179" s="10"/>
      <c r="K179" s="10"/>
      <c r="L179" s="24"/>
      <c r="M179" s="10"/>
      <c r="N179" s="10"/>
    </row>
    <row r="180" spans="1:14" ht="56.25" customHeight="1">
      <c r="A180" s="6" t="s">
        <v>572</v>
      </c>
      <c r="B180" s="55" t="s">
        <v>573</v>
      </c>
      <c r="C180" s="10"/>
      <c r="D180" s="9"/>
      <c r="E180" s="9" t="s">
        <v>574</v>
      </c>
      <c r="F180" s="6" t="s">
        <v>575</v>
      </c>
      <c r="G180" s="24" t="s">
        <v>4</v>
      </c>
      <c r="H180" s="10"/>
      <c r="I180" s="10" t="s">
        <v>38</v>
      </c>
      <c r="J180" s="10"/>
      <c r="K180" s="10"/>
      <c r="L180" s="24"/>
      <c r="M180" s="10"/>
      <c r="N180" s="10"/>
    </row>
    <row r="181" spans="1:14" ht="37.5" customHeight="1">
      <c r="A181" s="6" t="s">
        <v>576</v>
      </c>
      <c r="B181" s="55" t="s">
        <v>577</v>
      </c>
      <c r="C181" s="10"/>
      <c r="D181" s="9"/>
      <c r="E181" s="53" t="s">
        <v>578</v>
      </c>
      <c r="F181" s="6"/>
      <c r="G181" s="24" t="s">
        <v>4</v>
      </c>
      <c r="H181" s="10"/>
      <c r="I181" s="10" t="s">
        <v>38</v>
      </c>
      <c r="J181" s="10"/>
      <c r="K181" s="10"/>
      <c r="L181" s="24"/>
      <c r="M181" s="10" t="s">
        <v>579</v>
      </c>
      <c r="N181" s="10"/>
    </row>
    <row r="182" spans="1:14">
      <c r="A182" s="6" t="s">
        <v>580</v>
      </c>
      <c r="B182" s="55" t="s">
        <v>581</v>
      </c>
      <c r="C182" s="10"/>
      <c r="D182" s="9"/>
      <c r="E182" s="53" t="s">
        <v>578</v>
      </c>
      <c r="F182" s="6"/>
      <c r="G182" s="24" t="s">
        <v>4</v>
      </c>
      <c r="H182" s="10"/>
      <c r="I182" s="10" t="s">
        <v>38</v>
      </c>
      <c r="J182" s="10"/>
      <c r="K182" s="10"/>
      <c r="L182" s="24"/>
      <c r="M182" s="10" t="s">
        <v>582</v>
      </c>
      <c r="N182" s="10"/>
    </row>
    <row r="183" spans="1:14">
      <c r="A183" s="6" t="s">
        <v>583</v>
      </c>
      <c r="B183" s="55" t="s">
        <v>584</v>
      </c>
      <c r="C183" s="10"/>
      <c r="D183" s="9"/>
      <c r="E183" s="53" t="s">
        <v>578</v>
      </c>
      <c r="F183" s="6"/>
      <c r="G183" s="24" t="s">
        <v>4</v>
      </c>
      <c r="H183" s="10"/>
      <c r="I183" s="10" t="s">
        <v>38</v>
      </c>
      <c r="J183" s="10"/>
      <c r="K183" s="10"/>
      <c r="L183" s="24"/>
      <c r="M183" s="10" t="s">
        <v>585</v>
      </c>
      <c r="N183" s="10"/>
    </row>
    <row r="184" spans="1:14" ht="56.25" customHeight="1">
      <c r="A184" s="6" t="s">
        <v>586</v>
      </c>
      <c r="B184" s="55" t="s">
        <v>587</v>
      </c>
      <c r="C184" s="10"/>
      <c r="D184" s="9"/>
      <c r="E184" s="9" t="s">
        <v>588</v>
      </c>
      <c r="F184" s="6" t="s">
        <v>589</v>
      </c>
      <c r="G184" s="24" t="s">
        <v>4</v>
      </c>
      <c r="H184" s="10"/>
      <c r="I184" s="10" t="s">
        <v>38</v>
      </c>
      <c r="J184" s="10"/>
      <c r="K184" s="10"/>
      <c r="L184" s="24"/>
      <c r="M184" s="10"/>
      <c r="N184" s="10"/>
    </row>
    <row r="185" spans="1:14">
      <c r="A185" s="6" t="s">
        <v>590</v>
      </c>
      <c r="B185" s="55" t="s">
        <v>591</v>
      </c>
      <c r="C185" s="10"/>
      <c r="D185" s="9"/>
      <c r="E185" s="53" t="s">
        <v>566</v>
      </c>
      <c r="F185" s="6" t="s">
        <v>592</v>
      </c>
      <c r="G185" s="24" t="s">
        <v>4</v>
      </c>
      <c r="H185" s="10"/>
      <c r="I185" s="10" t="s">
        <v>38</v>
      </c>
      <c r="J185" s="10"/>
      <c r="K185" s="10"/>
      <c r="L185" s="24"/>
      <c r="M185" s="10"/>
      <c r="N185" s="10"/>
    </row>
    <row r="186" spans="1:14">
      <c r="A186" s="6" t="s">
        <v>593</v>
      </c>
      <c r="B186" s="55" t="s">
        <v>594</v>
      </c>
      <c r="C186" s="10"/>
      <c r="D186" s="9"/>
      <c r="E186" s="53" t="s">
        <v>578</v>
      </c>
      <c r="F186" s="6"/>
      <c r="G186" s="24" t="s">
        <v>4</v>
      </c>
      <c r="H186" s="10"/>
      <c r="I186" s="10" t="s">
        <v>38</v>
      </c>
      <c r="J186" s="10"/>
      <c r="K186" s="10"/>
      <c r="L186" s="24"/>
      <c r="M186" s="10"/>
      <c r="N186" s="10"/>
    </row>
    <row r="187" spans="1:14">
      <c r="A187" s="6" t="s">
        <v>595</v>
      </c>
      <c r="B187" s="55" t="s">
        <v>596</v>
      </c>
      <c r="C187" s="10"/>
      <c r="D187" s="9"/>
      <c r="E187" s="53" t="s">
        <v>578</v>
      </c>
      <c r="F187" s="6"/>
      <c r="G187" s="24" t="s">
        <v>4</v>
      </c>
      <c r="H187" s="10"/>
      <c r="I187" s="10" t="s">
        <v>38</v>
      </c>
      <c r="J187" s="10"/>
      <c r="K187" s="10"/>
      <c r="L187" s="24"/>
      <c r="M187" s="10" t="s">
        <v>597</v>
      </c>
      <c r="N187" s="10"/>
    </row>
    <row r="188" spans="1:14">
      <c r="A188" s="6" t="s">
        <v>598</v>
      </c>
      <c r="B188" s="85" t="s">
        <v>599</v>
      </c>
      <c r="C188" s="10"/>
      <c r="D188" s="9"/>
      <c r="E188" s="53" t="s">
        <v>566</v>
      </c>
      <c r="F188" s="6" t="s">
        <v>600</v>
      </c>
      <c r="G188" s="24" t="s">
        <v>4</v>
      </c>
      <c r="H188" s="10"/>
      <c r="I188" s="10" t="s">
        <v>38</v>
      </c>
      <c r="J188" s="10"/>
      <c r="K188" s="10"/>
      <c r="L188" s="24"/>
      <c r="M188" s="10"/>
      <c r="N188" s="10"/>
    </row>
    <row r="189" spans="1:14">
      <c r="A189" s="6" t="s">
        <v>601</v>
      </c>
      <c r="B189" s="85" t="s">
        <v>229</v>
      </c>
      <c r="C189" s="10"/>
      <c r="D189" s="9"/>
      <c r="E189" s="53" t="s">
        <v>566</v>
      </c>
      <c r="F189" s="6" t="s">
        <v>602</v>
      </c>
      <c r="G189" s="24" t="s">
        <v>4</v>
      </c>
      <c r="H189" s="10"/>
      <c r="I189" s="10" t="s">
        <v>38</v>
      </c>
      <c r="J189" s="10"/>
      <c r="K189" s="10"/>
      <c r="L189" s="24"/>
      <c r="M189" s="10"/>
      <c r="N189" s="10"/>
    </row>
    <row r="190" spans="1:14">
      <c r="A190" s="6" t="s">
        <v>603</v>
      </c>
      <c r="B190" s="85" t="s">
        <v>370</v>
      </c>
      <c r="C190" s="10"/>
      <c r="D190" s="9"/>
      <c r="E190" s="53" t="s">
        <v>566</v>
      </c>
      <c r="F190" s="6" t="s">
        <v>604</v>
      </c>
      <c r="G190" s="24" t="s">
        <v>4</v>
      </c>
      <c r="H190" s="10"/>
      <c r="I190" s="10" t="s">
        <v>38</v>
      </c>
      <c r="J190" s="10"/>
      <c r="K190" s="10"/>
      <c r="L190" s="24"/>
      <c r="M190" s="10"/>
      <c r="N190" s="10"/>
    </row>
    <row r="191" spans="1:14">
      <c r="A191" s="6" t="s">
        <v>605</v>
      </c>
      <c r="B191" s="86" t="s">
        <v>606</v>
      </c>
      <c r="C191" s="10"/>
      <c r="D191" s="9"/>
      <c r="E191" s="53" t="s">
        <v>566</v>
      </c>
      <c r="F191" s="6" t="s">
        <v>607</v>
      </c>
      <c r="G191" s="24" t="s">
        <v>4</v>
      </c>
      <c r="H191" s="10"/>
      <c r="I191" s="10" t="s">
        <v>38</v>
      </c>
      <c r="J191" s="10"/>
      <c r="K191" s="10"/>
      <c r="L191" s="24"/>
      <c r="M191" s="10"/>
      <c r="N191" s="10"/>
    </row>
    <row r="192" spans="1:14" ht="37.5" customHeight="1">
      <c r="A192" s="6" t="s">
        <v>608</v>
      </c>
      <c r="B192" s="86" t="s">
        <v>609</v>
      </c>
      <c r="C192" s="10"/>
      <c r="D192" s="9"/>
      <c r="E192" s="53" t="s">
        <v>566</v>
      </c>
      <c r="F192" s="6" t="s">
        <v>610</v>
      </c>
      <c r="G192" s="24" t="s">
        <v>4</v>
      </c>
      <c r="H192" s="10"/>
      <c r="I192" s="10" t="s">
        <v>38</v>
      </c>
      <c r="J192" s="10"/>
      <c r="K192" s="10"/>
      <c r="L192" s="24"/>
      <c r="M192" s="10"/>
      <c r="N192" s="10"/>
    </row>
    <row r="193" spans="1:14">
      <c r="A193" s="6" t="s">
        <v>611</v>
      </c>
      <c r="B193" s="86" t="s">
        <v>612</v>
      </c>
      <c r="C193" s="10"/>
      <c r="D193" s="9"/>
      <c r="E193" s="53" t="s">
        <v>566</v>
      </c>
      <c r="F193" s="6" t="s">
        <v>613</v>
      </c>
      <c r="G193" s="24" t="s">
        <v>4</v>
      </c>
      <c r="H193" s="10"/>
      <c r="I193" s="10" t="s">
        <v>38</v>
      </c>
      <c r="J193" s="10"/>
      <c r="K193" s="10"/>
      <c r="L193" s="24"/>
      <c r="M193" s="10"/>
      <c r="N193" s="10"/>
    </row>
    <row r="194" spans="1:14">
      <c r="A194" s="6" t="s">
        <v>614</v>
      </c>
      <c r="B194" s="86" t="s">
        <v>615</v>
      </c>
      <c r="C194" s="10"/>
      <c r="D194" s="9"/>
      <c r="E194" s="53" t="s">
        <v>566</v>
      </c>
      <c r="F194" s="6" t="s">
        <v>616</v>
      </c>
      <c r="G194" s="24" t="s">
        <v>4</v>
      </c>
      <c r="H194" s="10"/>
      <c r="I194" s="10" t="s">
        <v>38</v>
      </c>
      <c r="J194" s="10"/>
      <c r="K194" s="10"/>
      <c r="L194" s="24"/>
      <c r="M194" s="10"/>
      <c r="N194" s="10"/>
    </row>
    <row r="195" spans="1:14">
      <c r="A195" s="6" t="s">
        <v>617</v>
      </c>
      <c r="B195" s="86" t="s">
        <v>618</v>
      </c>
      <c r="C195" s="10"/>
      <c r="D195" s="9"/>
      <c r="E195" s="53" t="s">
        <v>566</v>
      </c>
      <c r="F195" s="6" t="s">
        <v>619</v>
      </c>
      <c r="G195" s="24" t="s">
        <v>4</v>
      </c>
      <c r="H195" s="10"/>
      <c r="I195" s="10" t="s">
        <v>38</v>
      </c>
      <c r="J195" s="10"/>
      <c r="K195" s="10"/>
      <c r="L195" s="24"/>
      <c r="M195" s="10"/>
      <c r="N195" s="10"/>
    </row>
    <row r="196" spans="1:14">
      <c r="A196" s="6" t="s">
        <v>620</v>
      </c>
      <c r="B196" s="87" t="s">
        <v>621</v>
      </c>
      <c r="C196" s="10"/>
      <c r="D196" s="9"/>
      <c r="E196" s="53" t="s">
        <v>578</v>
      </c>
      <c r="F196" s="6"/>
      <c r="G196" s="24" t="s">
        <v>4</v>
      </c>
      <c r="H196" s="10"/>
      <c r="I196" s="10" t="s">
        <v>38</v>
      </c>
      <c r="J196" s="10"/>
      <c r="K196" s="10"/>
      <c r="L196" s="24"/>
      <c r="M196" s="10" t="s">
        <v>622</v>
      </c>
      <c r="N196" s="10"/>
    </row>
    <row r="197" spans="1:14">
      <c r="A197" s="6" t="s">
        <v>623</v>
      </c>
      <c r="B197" s="84" t="s">
        <v>624</v>
      </c>
      <c r="C197" s="10"/>
      <c r="D197" s="9"/>
      <c r="E197" s="53" t="s">
        <v>578</v>
      </c>
      <c r="F197" s="6"/>
      <c r="G197" s="24" t="s">
        <v>4</v>
      </c>
      <c r="H197" s="10"/>
      <c r="I197" s="10" t="s">
        <v>38</v>
      </c>
      <c r="J197" s="10"/>
      <c r="K197" s="10"/>
      <c r="L197" s="24"/>
      <c r="M197" s="10" t="s">
        <v>625</v>
      </c>
      <c r="N197" s="10"/>
    </row>
    <row r="198" spans="1:14">
      <c r="A198" s="6" t="s">
        <v>626</v>
      </c>
      <c r="B198" s="84" t="s">
        <v>627</v>
      </c>
      <c r="C198" s="10"/>
      <c r="D198" s="9"/>
      <c r="E198" s="53" t="s">
        <v>578</v>
      </c>
      <c r="F198" s="6"/>
      <c r="G198" s="24" t="s">
        <v>4</v>
      </c>
      <c r="H198" s="10"/>
      <c r="I198" s="10" t="s">
        <v>38</v>
      </c>
      <c r="J198" s="10"/>
      <c r="K198" s="10"/>
      <c r="L198" s="24"/>
      <c r="M198" s="10" t="s">
        <v>628</v>
      </c>
      <c r="N198" s="10"/>
    </row>
    <row r="199" spans="1:14">
      <c r="A199" s="6" t="s">
        <v>629</v>
      </c>
      <c r="B199" s="86" t="s">
        <v>630</v>
      </c>
      <c r="C199" s="10"/>
      <c r="D199" s="9"/>
      <c r="E199" s="53" t="s">
        <v>566</v>
      </c>
      <c r="F199" s="6" t="s">
        <v>631</v>
      </c>
      <c r="G199" s="24" t="s">
        <v>4</v>
      </c>
      <c r="H199" s="10"/>
      <c r="I199" s="10" t="s">
        <v>38</v>
      </c>
      <c r="J199" s="10"/>
      <c r="K199" s="10"/>
      <c r="L199" s="24"/>
      <c r="M199" s="10"/>
      <c r="N199" s="10"/>
    </row>
    <row r="200" spans="1:14">
      <c r="A200" s="6" t="s">
        <v>632</v>
      </c>
      <c r="B200" s="86" t="s">
        <v>633</v>
      </c>
      <c r="C200" s="10"/>
      <c r="D200" s="9"/>
      <c r="E200" s="53" t="s">
        <v>566</v>
      </c>
      <c r="F200" s="6" t="s">
        <v>634</v>
      </c>
      <c r="G200" s="24" t="s">
        <v>4</v>
      </c>
      <c r="H200" s="10"/>
      <c r="I200" s="10" t="s">
        <v>38</v>
      </c>
      <c r="J200" s="10"/>
      <c r="K200" s="10"/>
      <c r="L200" s="24"/>
      <c r="M200" s="10"/>
      <c r="N200" s="10"/>
    </row>
    <row r="201" spans="1:14">
      <c r="A201" s="6" t="s">
        <v>635</v>
      </c>
      <c r="B201" s="86" t="s">
        <v>636</v>
      </c>
      <c r="C201" s="10"/>
      <c r="D201" s="9"/>
      <c r="E201" s="53" t="s">
        <v>566</v>
      </c>
      <c r="F201" s="6" t="s">
        <v>637</v>
      </c>
      <c r="G201" s="24" t="s">
        <v>4</v>
      </c>
      <c r="H201" s="10"/>
      <c r="I201" s="10" t="s">
        <v>38</v>
      </c>
      <c r="J201" s="10"/>
      <c r="K201" s="10"/>
      <c r="L201" s="24"/>
      <c r="M201" s="10"/>
      <c r="N201" s="10"/>
    </row>
    <row r="202" spans="1:14" ht="37.5" customHeight="1">
      <c r="A202" s="6" t="s">
        <v>638</v>
      </c>
      <c r="B202" s="86" t="s">
        <v>639</v>
      </c>
      <c r="C202" s="10"/>
      <c r="D202" s="9"/>
      <c r="E202" s="53" t="s">
        <v>566</v>
      </c>
      <c r="F202" s="6" t="s">
        <v>640</v>
      </c>
      <c r="G202" s="24" t="s">
        <v>4</v>
      </c>
      <c r="H202" s="10"/>
      <c r="I202" s="10" t="s">
        <v>38</v>
      </c>
      <c r="J202" s="10"/>
      <c r="K202" s="10"/>
      <c r="L202" s="24"/>
      <c r="M202" s="10"/>
      <c r="N202" s="10"/>
    </row>
    <row r="203" spans="1:14">
      <c r="A203" s="6" t="s">
        <v>641</v>
      </c>
      <c r="B203" s="86" t="s">
        <v>495</v>
      </c>
      <c r="C203" s="10"/>
      <c r="D203" s="9"/>
      <c r="E203" s="53" t="s">
        <v>566</v>
      </c>
      <c r="F203" s="6" t="s">
        <v>642</v>
      </c>
      <c r="G203" s="24" t="s">
        <v>4</v>
      </c>
      <c r="H203" s="10"/>
      <c r="I203" s="10" t="s">
        <v>38</v>
      </c>
      <c r="J203" s="10"/>
      <c r="K203" s="10"/>
      <c r="L203" s="24"/>
      <c r="M203" s="10"/>
      <c r="N203" s="10"/>
    </row>
    <row r="204" spans="1:14">
      <c r="A204" s="6" t="s">
        <v>643</v>
      </c>
      <c r="B204" s="86" t="s">
        <v>644</v>
      </c>
      <c r="C204" s="10"/>
      <c r="D204" s="9"/>
      <c r="E204" s="53" t="s">
        <v>566</v>
      </c>
      <c r="F204" s="6" t="s">
        <v>645</v>
      </c>
      <c r="G204" s="24" t="s">
        <v>4</v>
      </c>
      <c r="H204" s="10"/>
      <c r="I204" s="10" t="s">
        <v>38</v>
      </c>
      <c r="J204" s="10"/>
      <c r="K204" s="10"/>
      <c r="L204" s="24"/>
      <c r="M204" s="10"/>
      <c r="N204" s="10"/>
    </row>
    <row r="205" spans="1:14">
      <c r="A205" s="6" t="s">
        <v>646</v>
      </c>
      <c r="B205" s="86" t="s">
        <v>647</v>
      </c>
      <c r="C205" s="10"/>
      <c r="D205" s="9"/>
      <c r="E205" s="53" t="s">
        <v>566</v>
      </c>
      <c r="F205" s="6" t="s">
        <v>648</v>
      </c>
      <c r="G205" s="24" t="s">
        <v>4</v>
      </c>
      <c r="H205" s="10"/>
      <c r="I205" s="10" t="s">
        <v>38</v>
      </c>
      <c r="J205" s="10"/>
      <c r="K205" s="10"/>
      <c r="L205" s="24"/>
      <c r="M205" s="10"/>
      <c r="N205" s="10"/>
    </row>
    <row r="206" spans="1:14" ht="37.5" customHeight="1">
      <c r="A206" s="6" t="s">
        <v>649</v>
      </c>
      <c r="B206" s="86" t="s">
        <v>650</v>
      </c>
      <c r="C206" s="10"/>
      <c r="D206" s="9"/>
      <c r="E206" s="53" t="s">
        <v>566</v>
      </c>
      <c r="F206" s="6" t="s">
        <v>651</v>
      </c>
      <c r="G206" s="24" t="s">
        <v>4</v>
      </c>
      <c r="H206" s="10"/>
      <c r="I206" s="10" t="s">
        <v>38</v>
      </c>
      <c r="J206" s="10"/>
      <c r="K206" s="10"/>
      <c r="L206" s="24"/>
      <c r="M206" s="10"/>
      <c r="N206" s="10"/>
    </row>
    <row r="207" spans="1:14" ht="37.5" customHeight="1">
      <c r="A207" s="6" t="s">
        <v>652</v>
      </c>
      <c r="B207" s="55" t="s">
        <v>653</v>
      </c>
      <c r="C207" s="10"/>
      <c r="D207" s="9"/>
      <c r="E207" s="53" t="s">
        <v>566</v>
      </c>
      <c r="F207" s="6" t="s">
        <v>654</v>
      </c>
      <c r="G207" s="24" t="s">
        <v>4</v>
      </c>
      <c r="H207" s="10"/>
      <c r="I207" s="10" t="s">
        <v>38</v>
      </c>
      <c r="J207" s="10"/>
      <c r="K207" s="10"/>
      <c r="L207" s="24"/>
      <c r="M207" s="10"/>
      <c r="N207" s="10"/>
    </row>
    <row r="208" spans="1:14">
      <c r="A208" s="6" t="s">
        <v>655</v>
      </c>
      <c r="B208" s="55" t="s">
        <v>656</v>
      </c>
      <c r="C208" s="10"/>
      <c r="D208" s="9"/>
      <c r="E208" s="53" t="s">
        <v>578</v>
      </c>
      <c r="F208" s="6"/>
      <c r="G208" s="24" t="s">
        <v>4</v>
      </c>
      <c r="H208" s="10"/>
      <c r="I208" s="10" t="s">
        <v>38</v>
      </c>
      <c r="J208" s="10"/>
      <c r="K208" s="10"/>
      <c r="L208" s="24"/>
      <c r="M208" s="10"/>
      <c r="N208" s="10"/>
    </row>
    <row r="209" spans="1:14">
      <c r="A209" s="6" t="s">
        <v>657</v>
      </c>
      <c r="B209" s="55" t="s">
        <v>658</v>
      </c>
      <c r="C209" s="10"/>
      <c r="D209" s="9"/>
      <c r="E209" s="53" t="s">
        <v>566</v>
      </c>
      <c r="F209" s="6" t="s">
        <v>659</v>
      </c>
      <c r="G209" s="24" t="s">
        <v>4</v>
      </c>
      <c r="H209" s="10"/>
      <c r="I209" s="10" t="s">
        <v>38</v>
      </c>
      <c r="J209" s="10"/>
      <c r="K209" s="10"/>
      <c r="L209" s="24"/>
      <c r="M209" s="10"/>
      <c r="N209" s="10"/>
    </row>
    <row r="210" spans="1:14" ht="37.5" customHeight="1">
      <c r="A210" s="6" t="s">
        <v>660</v>
      </c>
      <c r="B210" s="55" t="s">
        <v>661</v>
      </c>
      <c r="C210" s="10"/>
      <c r="D210" s="9"/>
      <c r="E210" s="53" t="s">
        <v>662</v>
      </c>
      <c r="F210" s="6" t="s">
        <v>663</v>
      </c>
      <c r="G210" s="24" t="s">
        <v>4</v>
      </c>
      <c r="H210" s="10"/>
      <c r="I210" s="10" t="s">
        <v>38</v>
      </c>
      <c r="J210" s="10"/>
      <c r="K210" s="10"/>
      <c r="L210" s="24"/>
      <c r="M210" s="10"/>
      <c r="N210" s="10"/>
    </row>
    <row r="211" spans="1:14">
      <c r="B211" s="6"/>
      <c r="C211" s="10"/>
      <c r="D211" s="9"/>
      <c r="E211" s="9"/>
      <c r="F211" s="6"/>
      <c r="G211" s="24"/>
      <c r="H211" s="10"/>
      <c r="I211" s="10"/>
      <c r="J211" s="10"/>
      <c r="K211" s="10"/>
      <c r="L211" s="24"/>
      <c r="M211" s="10"/>
      <c r="N211" s="10"/>
    </row>
    <row r="212" spans="1:14">
      <c r="A212" s="63" t="s">
        <v>664</v>
      </c>
      <c r="B212" s="22"/>
      <c r="C212" s="62"/>
      <c r="D212" s="80"/>
      <c r="E212" s="80"/>
      <c r="F212" s="22"/>
      <c r="G212" s="28"/>
      <c r="H212" s="23"/>
      <c r="I212" s="23"/>
      <c r="J212" s="23"/>
      <c r="K212" s="23"/>
      <c r="L212" s="28"/>
      <c r="M212" s="23"/>
      <c r="N212" s="23"/>
    </row>
    <row r="213" spans="1:14">
      <c r="A213" s="56" t="s">
        <v>665</v>
      </c>
      <c r="B213" s="33"/>
      <c r="C213" s="65" t="s">
        <v>463</v>
      </c>
      <c r="D213" s="35"/>
      <c r="E213" s="36"/>
      <c r="F213" s="37"/>
      <c r="G213" s="38"/>
      <c r="H213" s="34"/>
      <c r="I213" s="34"/>
      <c r="J213" s="34"/>
      <c r="K213" s="34"/>
      <c r="L213" s="38"/>
      <c r="M213" s="34"/>
      <c r="N213" s="34"/>
    </row>
    <row r="214" spans="1:14" ht="56.25" customHeight="1">
      <c r="A214" s="6" t="s">
        <v>666</v>
      </c>
      <c r="B214" s="55" t="s">
        <v>667</v>
      </c>
      <c r="C214" s="57"/>
      <c r="D214" s="53" t="s">
        <v>668</v>
      </c>
      <c r="E214" s="53" t="s">
        <v>669</v>
      </c>
      <c r="F214" s="6" t="s">
        <v>526</v>
      </c>
      <c r="G214" s="24" t="s">
        <v>4</v>
      </c>
      <c r="H214" s="92"/>
      <c r="I214" s="10"/>
      <c r="J214" s="57" t="s">
        <v>38</v>
      </c>
      <c r="K214" s="10"/>
      <c r="L214" s="24"/>
      <c r="M214" s="10"/>
      <c r="N214" s="10"/>
    </row>
    <row r="215" spans="1:14">
      <c r="B215" s="6"/>
      <c r="C215" s="10"/>
      <c r="D215" s="9"/>
      <c r="E215" s="9"/>
      <c r="F215" s="6"/>
      <c r="G215" s="24"/>
      <c r="H215" s="10"/>
      <c r="I215" s="10"/>
      <c r="J215" s="10"/>
      <c r="K215" s="10"/>
      <c r="L215" s="24"/>
      <c r="M215" s="10"/>
      <c r="N215" s="10"/>
    </row>
    <row r="216" spans="1:14">
      <c r="A216" s="56" t="s">
        <v>670</v>
      </c>
      <c r="B216" s="33"/>
      <c r="C216" s="65" t="s">
        <v>463</v>
      </c>
      <c r="D216" s="35"/>
      <c r="E216" s="36"/>
      <c r="F216" s="37"/>
      <c r="G216" s="38"/>
      <c r="H216" s="34"/>
      <c r="I216" s="34"/>
      <c r="J216" s="34"/>
      <c r="K216" s="34"/>
      <c r="L216" s="38"/>
      <c r="M216" s="34"/>
      <c r="N216" s="34"/>
    </row>
    <row r="217" spans="1:14" ht="56.25" customHeight="1">
      <c r="A217" s="6" t="s">
        <v>671</v>
      </c>
      <c r="B217" s="55" t="s">
        <v>672</v>
      </c>
      <c r="C217" s="10"/>
      <c r="D217" s="53" t="s">
        <v>673</v>
      </c>
      <c r="E217" s="9" t="s">
        <v>674</v>
      </c>
      <c r="F217" s="6" t="s">
        <v>675</v>
      </c>
      <c r="G217" s="24" t="s">
        <v>4</v>
      </c>
      <c r="H217" s="57" t="s">
        <v>38</v>
      </c>
      <c r="I217" s="10"/>
      <c r="J217" s="57"/>
      <c r="K217" s="10"/>
      <c r="L217" s="24"/>
      <c r="M217" s="10"/>
      <c r="N217" s="10"/>
    </row>
    <row r="218" spans="1:14" ht="93.75" customHeight="1">
      <c r="A218" s="6" t="s">
        <v>676</v>
      </c>
      <c r="B218" s="6" t="s">
        <v>677</v>
      </c>
      <c r="C218" s="10"/>
      <c r="D218" s="9" t="s">
        <v>678</v>
      </c>
      <c r="E218" s="53" t="s">
        <v>679</v>
      </c>
      <c r="F218" s="6" t="s">
        <v>680</v>
      </c>
      <c r="G218" s="24" t="s">
        <v>4</v>
      </c>
      <c r="H218" s="57" t="s">
        <v>38</v>
      </c>
      <c r="I218" s="10"/>
      <c r="J218" s="10"/>
      <c r="K218" s="10"/>
      <c r="L218" s="24"/>
      <c r="M218" s="10"/>
      <c r="N218" s="10"/>
    </row>
    <row r="219" spans="1:14" ht="93.75" customHeight="1">
      <c r="A219" s="6" t="s">
        <v>681</v>
      </c>
      <c r="B219" s="6" t="s">
        <v>682</v>
      </c>
      <c r="C219" s="10"/>
      <c r="D219" s="9" t="s">
        <v>683</v>
      </c>
      <c r="E219" s="9" t="s">
        <v>684</v>
      </c>
      <c r="F219" s="6" t="s">
        <v>685</v>
      </c>
      <c r="G219" s="24" t="s">
        <v>4</v>
      </c>
      <c r="H219" s="57" t="s">
        <v>38</v>
      </c>
      <c r="I219" s="10"/>
      <c r="J219" s="10"/>
      <c r="K219" s="10"/>
      <c r="L219" s="24"/>
      <c r="M219" s="10"/>
      <c r="N219" s="10"/>
    </row>
    <row r="220" spans="1:14" ht="75" customHeight="1">
      <c r="A220" s="6" t="s">
        <v>686</v>
      </c>
      <c r="B220" s="6" t="s">
        <v>687</v>
      </c>
      <c r="C220" s="10"/>
      <c r="D220" s="9" t="s">
        <v>688</v>
      </c>
      <c r="E220" s="9" t="s">
        <v>684</v>
      </c>
      <c r="F220" s="6" t="s">
        <v>685</v>
      </c>
      <c r="G220" s="24" t="s">
        <v>4</v>
      </c>
      <c r="H220" s="57" t="s">
        <v>38</v>
      </c>
      <c r="I220" s="10"/>
      <c r="K220" s="10"/>
      <c r="L220" s="24"/>
      <c r="M220" s="10"/>
      <c r="N220" s="10"/>
    </row>
    <row r="221" spans="1:14" ht="75" customHeight="1">
      <c r="A221" s="6" t="s">
        <v>689</v>
      </c>
      <c r="B221" s="6" t="s">
        <v>690</v>
      </c>
      <c r="C221" s="10"/>
      <c r="D221" s="9" t="s">
        <v>691</v>
      </c>
      <c r="E221" s="9" t="s">
        <v>684</v>
      </c>
      <c r="F221" s="6" t="s">
        <v>685</v>
      </c>
      <c r="G221" s="24" t="s">
        <v>4</v>
      </c>
      <c r="I221" s="10"/>
      <c r="J221" s="57" t="s">
        <v>38</v>
      </c>
      <c r="K221" s="10"/>
      <c r="L221" s="24"/>
      <c r="M221" s="10"/>
      <c r="N221" s="10"/>
    </row>
    <row r="222" spans="1:14">
      <c r="B222" s="6"/>
      <c r="C222" s="10"/>
      <c r="D222" s="9"/>
      <c r="E222" s="9"/>
      <c r="F222" s="6"/>
      <c r="G222" s="24"/>
      <c r="H222" s="10"/>
      <c r="I222" s="10"/>
      <c r="J222" s="10"/>
      <c r="K222" s="10"/>
      <c r="L222" s="24"/>
      <c r="M222" s="10"/>
      <c r="N222" s="10"/>
    </row>
    <row r="223" spans="1:14">
      <c r="A223" s="56" t="s">
        <v>692</v>
      </c>
      <c r="B223" s="33"/>
      <c r="C223" s="65" t="s">
        <v>463</v>
      </c>
      <c r="D223" s="35"/>
      <c r="E223" s="36"/>
      <c r="F223" s="37"/>
      <c r="G223" s="38"/>
      <c r="H223" s="34"/>
      <c r="I223" s="34"/>
      <c r="J223" s="34"/>
      <c r="K223" s="34"/>
      <c r="L223" s="38"/>
      <c r="M223" s="34"/>
      <c r="N223" s="34"/>
    </row>
    <row r="224" spans="1:14" ht="56.25" customHeight="1">
      <c r="A224" s="6" t="s">
        <v>693</v>
      </c>
      <c r="B224" s="55" t="s">
        <v>694</v>
      </c>
      <c r="C224" s="10"/>
      <c r="D224" s="53" t="s">
        <v>695</v>
      </c>
      <c r="E224" s="53" t="s">
        <v>696</v>
      </c>
      <c r="F224" s="6" t="s">
        <v>697</v>
      </c>
      <c r="G224" s="57" t="s">
        <v>4</v>
      </c>
      <c r="H224" s="92"/>
      <c r="I224" s="10"/>
      <c r="J224" s="57" t="s">
        <v>38</v>
      </c>
      <c r="K224" s="10"/>
      <c r="L224" s="24"/>
      <c r="M224" s="10"/>
      <c r="N224" s="10"/>
    </row>
    <row r="225" spans="1:14">
      <c r="B225" s="6"/>
      <c r="C225" s="10"/>
      <c r="D225" s="9"/>
      <c r="E225" s="9"/>
      <c r="F225" s="6"/>
      <c r="G225" s="24"/>
      <c r="H225" s="10"/>
      <c r="I225" s="10"/>
      <c r="J225" s="10"/>
      <c r="K225" s="10"/>
      <c r="L225" s="24"/>
      <c r="M225" s="10"/>
      <c r="N225" s="10"/>
    </row>
    <row r="226" spans="1:14">
      <c r="A226" s="56" t="s">
        <v>698</v>
      </c>
      <c r="B226" s="33"/>
      <c r="C226" s="65" t="s">
        <v>463</v>
      </c>
      <c r="D226" s="35"/>
      <c r="E226" s="36"/>
      <c r="F226" s="37"/>
      <c r="G226" s="38"/>
      <c r="H226" s="34"/>
      <c r="I226" s="34"/>
      <c r="J226" s="34"/>
      <c r="K226" s="34"/>
      <c r="L226" s="38"/>
      <c r="M226" s="34"/>
      <c r="N226" s="34"/>
    </row>
    <row r="227" spans="1:14" ht="56.25" customHeight="1">
      <c r="A227" s="6" t="s">
        <v>699</v>
      </c>
      <c r="B227" s="55" t="s">
        <v>700</v>
      </c>
      <c r="C227" s="10"/>
      <c r="D227" s="53" t="s">
        <v>701</v>
      </c>
      <c r="E227" s="53" t="s">
        <v>702</v>
      </c>
      <c r="F227" s="6" t="s">
        <v>703</v>
      </c>
      <c r="G227" s="24" t="s">
        <v>4</v>
      </c>
      <c r="H227" s="43"/>
      <c r="I227" s="57" t="s">
        <v>38</v>
      </c>
      <c r="J227" s="57"/>
      <c r="K227" s="10"/>
      <c r="L227" s="24"/>
      <c r="M227" s="10"/>
      <c r="N227" s="10"/>
    </row>
    <row r="228" spans="1:14">
      <c r="A228" s="6" t="s">
        <v>704</v>
      </c>
      <c r="B228" s="55" t="s">
        <v>653</v>
      </c>
      <c r="C228" s="10"/>
      <c r="D228" s="9"/>
      <c r="E228" s="53" t="s">
        <v>566</v>
      </c>
      <c r="F228" s="6" t="s">
        <v>705</v>
      </c>
      <c r="G228" s="24" t="s">
        <v>4</v>
      </c>
      <c r="H228" s="10"/>
      <c r="I228" s="57" t="s">
        <v>38</v>
      </c>
      <c r="J228" s="10"/>
      <c r="K228" s="10"/>
      <c r="L228" s="24"/>
      <c r="M228" s="10"/>
      <c r="N228" s="10"/>
    </row>
    <row r="229" spans="1:14">
      <c r="A229" s="6" t="s">
        <v>706</v>
      </c>
      <c r="B229" s="55" t="s">
        <v>707</v>
      </c>
      <c r="C229" s="10"/>
      <c r="D229" s="9"/>
      <c r="E229" s="53" t="s">
        <v>566</v>
      </c>
      <c r="F229" s="6" t="s">
        <v>708</v>
      </c>
      <c r="G229" s="24" t="s">
        <v>4</v>
      </c>
      <c r="H229" s="10"/>
      <c r="I229" s="57" t="s">
        <v>38</v>
      </c>
      <c r="J229" s="10"/>
      <c r="K229" s="10"/>
      <c r="L229" s="24"/>
      <c r="M229" s="10"/>
      <c r="N229" s="10"/>
    </row>
    <row r="230" spans="1:14">
      <c r="A230" s="6" t="s">
        <v>709</v>
      </c>
      <c r="B230" s="55" t="s">
        <v>710</v>
      </c>
      <c r="C230" s="10"/>
      <c r="D230" s="9"/>
      <c r="E230" s="53" t="s">
        <v>566</v>
      </c>
      <c r="F230" s="6" t="s">
        <v>711</v>
      </c>
      <c r="G230" s="24" t="s">
        <v>4</v>
      </c>
      <c r="H230" s="10"/>
      <c r="I230" s="57" t="s">
        <v>38</v>
      </c>
      <c r="J230" s="10"/>
      <c r="K230" s="10"/>
      <c r="L230" s="24"/>
      <c r="M230" s="10"/>
      <c r="N230" s="10"/>
    </row>
    <row r="231" spans="1:14">
      <c r="A231" s="6" t="s">
        <v>712</v>
      </c>
      <c r="B231" s="55" t="s">
        <v>713</v>
      </c>
      <c r="C231" s="10"/>
      <c r="D231" s="9"/>
      <c r="E231" s="53" t="s">
        <v>566</v>
      </c>
      <c r="F231" s="6" t="s">
        <v>714</v>
      </c>
      <c r="G231" s="24" t="s">
        <v>4</v>
      </c>
      <c r="H231" s="10"/>
      <c r="I231" s="57" t="s">
        <v>38</v>
      </c>
      <c r="J231" s="10"/>
      <c r="K231" s="10"/>
      <c r="L231" s="24"/>
      <c r="M231" s="10"/>
      <c r="N231" s="10"/>
    </row>
    <row r="232" spans="1:14" ht="37.5" customHeight="1">
      <c r="A232" s="6" t="s">
        <v>715</v>
      </c>
      <c r="B232" s="55" t="s">
        <v>716</v>
      </c>
      <c r="C232" s="10"/>
      <c r="D232" s="9"/>
      <c r="E232" s="53" t="s">
        <v>566</v>
      </c>
      <c r="F232" s="6" t="s">
        <v>717</v>
      </c>
      <c r="G232" s="24" t="s">
        <v>4</v>
      </c>
      <c r="H232" s="10"/>
      <c r="I232" s="57" t="s">
        <v>38</v>
      </c>
      <c r="J232" s="10"/>
      <c r="K232" s="10"/>
      <c r="L232" s="24"/>
      <c r="M232" s="10"/>
      <c r="N232" s="10"/>
    </row>
    <row r="233" spans="1:14" ht="37.5" customHeight="1">
      <c r="A233" s="6" t="s">
        <v>718</v>
      </c>
      <c r="B233" s="55" t="s">
        <v>719</v>
      </c>
      <c r="C233" s="10"/>
      <c r="D233" s="9"/>
      <c r="E233" s="53" t="s">
        <v>566</v>
      </c>
      <c r="F233" s="6" t="s">
        <v>720</v>
      </c>
      <c r="G233" s="24" t="s">
        <v>4</v>
      </c>
      <c r="H233" s="10"/>
      <c r="I233" s="57" t="s">
        <v>38</v>
      </c>
      <c r="J233" s="10"/>
      <c r="K233" s="10"/>
      <c r="L233" s="24"/>
      <c r="M233" s="10"/>
      <c r="N233" s="10"/>
    </row>
    <row r="234" spans="1:14">
      <c r="A234" s="6" t="s">
        <v>721</v>
      </c>
      <c r="B234" s="55" t="s">
        <v>722</v>
      </c>
      <c r="C234" s="10"/>
      <c r="D234" s="9"/>
      <c r="E234" s="53" t="s">
        <v>566</v>
      </c>
      <c r="F234" s="6" t="s">
        <v>723</v>
      </c>
      <c r="G234" s="24" t="s">
        <v>4</v>
      </c>
      <c r="H234" s="10"/>
      <c r="I234" s="57" t="s">
        <v>38</v>
      </c>
      <c r="J234" s="10"/>
      <c r="K234" s="10"/>
      <c r="L234" s="24"/>
      <c r="M234" s="10"/>
      <c r="N234" s="10"/>
    </row>
    <row r="235" spans="1:14">
      <c r="A235" s="6" t="s">
        <v>724</v>
      </c>
      <c r="B235" s="55" t="s">
        <v>584</v>
      </c>
      <c r="C235" s="10"/>
      <c r="D235" s="9"/>
      <c r="E235" s="53" t="s">
        <v>566</v>
      </c>
      <c r="F235" s="6" t="s">
        <v>725</v>
      </c>
      <c r="G235" s="24" t="s">
        <v>4</v>
      </c>
      <c r="H235" s="10"/>
      <c r="I235" s="57" t="s">
        <v>38</v>
      </c>
      <c r="J235" s="10"/>
      <c r="K235" s="10"/>
      <c r="L235" s="24"/>
      <c r="M235" s="10"/>
      <c r="N235" s="10"/>
    </row>
    <row r="236" spans="1:14">
      <c r="A236" s="6" t="s">
        <v>726</v>
      </c>
      <c r="B236" s="55" t="s">
        <v>727</v>
      </c>
      <c r="C236" s="10"/>
      <c r="D236" s="9"/>
      <c r="E236" s="53" t="s">
        <v>566</v>
      </c>
      <c r="F236" s="6" t="s">
        <v>728</v>
      </c>
      <c r="G236" s="24" t="s">
        <v>4</v>
      </c>
      <c r="H236" s="10"/>
      <c r="I236" s="57" t="s">
        <v>38</v>
      </c>
      <c r="J236" s="10"/>
      <c r="K236" s="10"/>
      <c r="L236" s="24"/>
      <c r="M236" s="10"/>
      <c r="N236" s="10"/>
    </row>
    <row r="237" spans="1:14">
      <c r="A237" s="6" t="s">
        <v>729</v>
      </c>
      <c r="B237" s="55" t="s">
        <v>730</v>
      </c>
      <c r="C237" s="10"/>
      <c r="D237" s="9"/>
      <c r="E237" s="53" t="s">
        <v>566</v>
      </c>
      <c r="F237" s="6" t="s">
        <v>731</v>
      </c>
      <c r="G237" s="24" t="s">
        <v>4</v>
      </c>
      <c r="H237" s="10"/>
      <c r="I237" s="57" t="s">
        <v>38</v>
      </c>
      <c r="J237" s="10"/>
      <c r="K237" s="10"/>
      <c r="L237" s="24"/>
      <c r="M237" s="10"/>
      <c r="N237" s="10"/>
    </row>
    <row r="238" spans="1:14">
      <c r="A238" s="6" t="s">
        <v>732</v>
      </c>
      <c r="B238" s="55" t="s">
        <v>733</v>
      </c>
      <c r="C238" s="10"/>
      <c r="D238" s="9"/>
      <c r="E238" s="53" t="s">
        <v>566</v>
      </c>
      <c r="F238" s="6" t="s">
        <v>734</v>
      </c>
      <c r="G238" s="24" t="s">
        <v>4</v>
      </c>
      <c r="H238" s="10"/>
      <c r="I238" s="57" t="s">
        <v>38</v>
      </c>
      <c r="J238" s="10"/>
      <c r="K238" s="10"/>
      <c r="L238" s="24"/>
      <c r="M238" s="10"/>
      <c r="N238" s="10"/>
    </row>
    <row r="239" spans="1:14">
      <c r="A239" s="6" t="s">
        <v>735</v>
      </c>
      <c r="B239" s="55" t="s">
        <v>736</v>
      </c>
      <c r="C239" s="10"/>
      <c r="D239" s="9"/>
      <c r="E239" s="53" t="s">
        <v>566</v>
      </c>
      <c r="F239" s="6" t="s">
        <v>737</v>
      </c>
      <c r="G239" s="24" t="s">
        <v>4</v>
      </c>
      <c r="H239" s="10"/>
      <c r="I239" s="57" t="s">
        <v>38</v>
      </c>
      <c r="J239" s="10"/>
      <c r="K239" s="10"/>
      <c r="L239" s="24"/>
      <c r="M239" s="10"/>
      <c r="N239" s="10"/>
    </row>
    <row r="240" spans="1:14">
      <c r="B240" s="6"/>
      <c r="C240" s="10"/>
      <c r="D240" s="9"/>
      <c r="E240" s="9"/>
      <c r="F240" s="6"/>
      <c r="G240" s="24"/>
      <c r="H240" s="10"/>
      <c r="I240" s="10"/>
      <c r="J240" s="10"/>
      <c r="K240" s="10"/>
      <c r="L240" s="24"/>
      <c r="M240" s="10"/>
      <c r="N240" s="10"/>
    </row>
    <row r="241" spans="1:14">
      <c r="A241" s="56" t="s">
        <v>738</v>
      </c>
      <c r="B241" s="33"/>
      <c r="C241" s="65" t="s">
        <v>463</v>
      </c>
      <c r="D241" s="35"/>
      <c r="E241" s="36"/>
      <c r="F241" s="37"/>
      <c r="G241" s="38"/>
      <c r="H241" s="34"/>
      <c r="I241" s="34"/>
      <c r="J241" s="34"/>
      <c r="K241" s="34"/>
      <c r="L241" s="38"/>
      <c r="M241" s="34"/>
      <c r="N241" s="34"/>
    </row>
    <row r="242" spans="1:14" ht="56.25" customHeight="1">
      <c r="A242" s="6" t="s">
        <v>739</v>
      </c>
      <c r="B242" s="55" t="s">
        <v>740</v>
      </c>
      <c r="C242" s="10"/>
      <c r="D242" s="53" t="s">
        <v>741</v>
      </c>
      <c r="E242" s="53" t="s">
        <v>742</v>
      </c>
      <c r="F242" s="6" t="s">
        <v>743</v>
      </c>
      <c r="G242" s="24" t="s">
        <v>4</v>
      </c>
      <c r="H242" s="43"/>
      <c r="I242" s="57" t="s">
        <v>38</v>
      </c>
      <c r="J242" s="57"/>
      <c r="K242" s="10"/>
      <c r="L242" s="24"/>
      <c r="M242" s="10"/>
      <c r="N242" s="10"/>
    </row>
    <row r="243" spans="1:14">
      <c r="B243" s="6"/>
      <c r="C243" s="10"/>
      <c r="D243" s="9"/>
      <c r="E243" s="9"/>
      <c r="F243" s="6"/>
      <c r="G243" s="24"/>
      <c r="H243" s="10"/>
      <c r="I243" s="10"/>
      <c r="J243" s="10"/>
      <c r="K243" s="10"/>
      <c r="L243" s="24"/>
      <c r="M243" s="10"/>
      <c r="N243" s="10"/>
    </row>
    <row r="244" spans="1:14">
      <c r="A244" s="56" t="s">
        <v>744</v>
      </c>
      <c r="B244" s="33"/>
      <c r="C244" s="65" t="s">
        <v>463</v>
      </c>
      <c r="D244" s="35"/>
      <c r="E244" s="36"/>
      <c r="F244" s="37"/>
      <c r="G244" s="38"/>
      <c r="H244" s="34"/>
      <c r="I244" s="34"/>
      <c r="J244" s="34"/>
      <c r="K244" s="34"/>
      <c r="L244" s="38"/>
      <c r="M244" s="34"/>
      <c r="N244" s="34"/>
    </row>
    <row r="245" spans="1:14" ht="56.25" customHeight="1">
      <c r="A245" s="6" t="s">
        <v>745</v>
      </c>
      <c r="B245" s="55" t="s">
        <v>746</v>
      </c>
      <c r="C245" s="10"/>
      <c r="D245" s="53" t="s">
        <v>747</v>
      </c>
      <c r="E245" s="53" t="s">
        <v>748</v>
      </c>
      <c r="F245" s="6" t="s">
        <v>356</v>
      </c>
      <c r="G245" s="24" t="s">
        <v>4</v>
      </c>
      <c r="H245" s="43"/>
      <c r="J245" s="57"/>
      <c r="K245" s="57" t="s">
        <v>38</v>
      </c>
      <c r="L245" s="24"/>
      <c r="M245" s="10"/>
      <c r="N245" s="10"/>
    </row>
    <row r="246" spans="1:14">
      <c r="B246" s="6"/>
      <c r="C246" s="10"/>
      <c r="D246" s="9"/>
      <c r="E246" s="9"/>
      <c r="F246" s="6"/>
      <c r="G246" s="24"/>
      <c r="H246" s="10"/>
      <c r="I246" s="10"/>
      <c r="J246" s="10"/>
      <c r="K246" s="10"/>
      <c r="L246" s="24"/>
      <c r="M246" s="10"/>
      <c r="N246" s="10"/>
    </row>
    <row r="247" spans="1:14">
      <c r="A247" s="56" t="s">
        <v>749</v>
      </c>
      <c r="B247" s="33"/>
      <c r="C247" s="65" t="s">
        <v>463</v>
      </c>
      <c r="D247" s="35"/>
      <c r="E247" s="36"/>
      <c r="F247" s="37"/>
      <c r="G247" s="38"/>
      <c r="H247" s="34"/>
      <c r="I247" s="34"/>
      <c r="J247" s="34"/>
      <c r="K247" s="34"/>
      <c r="L247" s="38"/>
      <c r="M247" s="34"/>
      <c r="N247" s="34"/>
    </row>
    <row r="248" spans="1:14" ht="56.25" customHeight="1">
      <c r="A248" s="6" t="s">
        <v>750</v>
      </c>
      <c r="B248" s="55" t="s">
        <v>751</v>
      </c>
      <c r="C248" s="10"/>
      <c r="D248" s="53" t="s">
        <v>752</v>
      </c>
      <c r="E248" s="53" t="s">
        <v>753</v>
      </c>
      <c r="F248" s="6" t="s">
        <v>754</v>
      </c>
      <c r="G248" s="24" t="s">
        <v>4</v>
      </c>
      <c r="H248" s="43"/>
      <c r="I248" s="57"/>
      <c r="J248" s="57"/>
      <c r="K248" s="57" t="s">
        <v>38</v>
      </c>
      <c r="L248" s="24"/>
      <c r="M248" s="10"/>
      <c r="N248" s="10"/>
    </row>
    <row r="249" spans="1:14" ht="39.75" customHeight="1">
      <c r="A249" s="6" t="s">
        <v>755</v>
      </c>
      <c r="B249" s="55" t="s">
        <v>756</v>
      </c>
      <c r="C249" s="10"/>
      <c r="D249" s="53" t="s">
        <v>757</v>
      </c>
      <c r="E249" s="53" t="s">
        <v>758</v>
      </c>
      <c r="F249" s="6"/>
      <c r="G249" s="24" t="s">
        <v>4</v>
      </c>
      <c r="H249" s="10"/>
      <c r="I249" s="10"/>
      <c r="J249" s="10"/>
      <c r="K249" s="57" t="s">
        <v>38</v>
      </c>
      <c r="L249" s="24"/>
      <c r="M249" s="10"/>
      <c r="N249" s="10"/>
    </row>
    <row r="250" spans="1:14" ht="39.75" customHeight="1">
      <c r="A250" s="6" t="s">
        <v>759</v>
      </c>
      <c r="B250" s="55" t="s">
        <v>203</v>
      </c>
      <c r="C250" s="10"/>
      <c r="D250" s="53" t="s">
        <v>760</v>
      </c>
      <c r="E250" s="53" t="s">
        <v>199</v>
      </c>
      <c r="F250" s="6" t="s">
        <v>203</v>
      </c>
      <c r="G250" s="24" t="s">
        <v>4</v>
      </c>
      <c r="H250" s="10"/>
      <c r="I250" s="10"/>
      <c r="J250" s="10"/>
      <c r="K250" s="57" t="s">
        <v>38</v>
      </c>
      <c r="L250" s="24"/>
      <c r="M250" s="10"/>
      <c r="N250" s="10"/>
    </row>
    <row r="251" spans="1:14" ht="39.75" customHeight="1">
      <c r="A251" s="6" t="s">
        <v>761</v>
      </c>
      <c r="B251" s="55" t="s">
        <v>762</v>
      </c>
      <c r="C251" s="10"/>
      <c r="D251" s="53" t="s">
        <v>763</v>
      </c>
      <c r="E251" s="53" t="s">
        <v>199</v>
      </c>
      <c r="F251" s="6" t="s">
        <v>762</v>
      </c>
      <c r="G251" s="24" t="s">
        <v>4</v>
      </c>
      <c r="H251" s="10"/>
      <c r="I251" s="10"/>
      <c r="J251" s="10"/>
      <c r="K251" s="57" t="s">
        <v>38</v>
      </c>
      <c r="L251" s="24"/>
      <c r="M251" s="10"/>
      <c r="N251" s="10"/>
    </row>
    <row r="252" spans="1:14" ht="61.5" customHeight="1">
      <c r="A252" s="6" t="s">
        <v>764</v>
      </c>
      <c r="B252" s="53" t="s">
        <v>765</v>
      </c>
      <c r="C252" s="10"/>
      <c r="D252" s="53" t="s">
        <v>766</v>
      </c>
      <c r="E252" s="53" t="s">
        <v>199</v>
      </c>
      <c r="F252" s="6" t="s">
        <v>765</v>
      </c>
      <c r="G252" s="24" t="s">
        <v>4</v>
      </c>
      <c r="H252" s="10"/>
      <c r="I252" s="10"/>
      <c r="J252" s="10"/>
      <c r="K252" s="57" t="s">
        <v>38</v>
      </c>
      <c r="L252" s="24"/>
      <c r="M252" s="10"/>
      <c r="N252" s="10"/>
    </row>
    <row r="253" spans="1:14" ht="39.75" customHeight="1">
      <c r="A253" s="6" t="s">
        <v>767</v>
      </c>
      <c r="B253" s="55" t="s">
        <v>768</v>
      </c>
      <c r="C253" s="10"/>
      <c r="D253" s="53" t="s">
        <v>769</v>
      </c>
      <c r="E253" s="53" t="s">
        <v>770</v>
      </c>
      <c r="F253" s="6"/>
      <c r="G253" s="24" t="s">
        <v>4</v>
      </c>
      <c r="H253" s="10"/>
      <c r="I253" s="10"/>
      <c r="J253" s="10"/>
      <c r="K253" s="57" t="s">
        <v>38</v>
      </c>
      <c r="L253" s="24"/>
      <c r="M253" s="10"/>
      <c r="N253" s="10"/>
    </row>
    <row r="254" spans="1:14">
      <c r="B254" s="6"/>
      <c r="C254" s="10"/>
      <c r="D254" s="9"/>
      <c r="E254" s="9"/>
      <c r="F254" s="6"/>
      <c r="G254" s="24"/>
      <c r="H254" s="10"/>
      <c r="I254" s="10"/>
      <c r="J254" s="10"/>
      <c r="K254" s="10"/>
      <c r="L254" s="24"/>
      <c r="M254" s="10"/>
      <c r="N254" s="10"/>
    </row>
    <row r="255" spans="1:14">
      <c r="A255" s="56" t="s">
        <v>771</v>
      </c>
      <c r="B255" s="33"/>
      <c r="C255" s="65" t="s">
        <v>45</v>
      </c>
      <c r="D255" s="35"/>
      <c r="E255" s="36"/>
      <c r="F255" s="37"/>
      <c r="G255" s="38"/>
      <c r="H255" s="34"/>
      <c r="I255" s="34"/>
      <c r="J255" s="34"/>
      <c r="K255" s="34"/>
      <c r="L255" s="38"/>
      <c r="M255" s="34"/>
      <c r="N255" s="34"/>
    </row>
    <row r="256" spans="1:14" ht="56.25" customHeight="1">
      <c r="A256" s="6" t="s">
        <v>772</v>
      </c>
      <c r="B256" s="55" t="s">
        <v>773</v>
      </c>
      <c r="C256" s="10"/>
      <c r="D256" s="53" t="s">
        <v>774</v>
      </c>
      <c r="E256" s="53" t="s">
        <v>775</v>
      </c>
      <c r="F256" s="6" t="s">
        <v>776</v>
      </c>
      <c r="G256" s="24" t="s">
        <v>4</v>
      </c>
      <c r="H256" s="92"/>
      <c r="I256" s="10"/>
      <c r="J256" s="57" t="s">
        <v>38</v>
      </c>
      <c r="K256" s="10"/>
      <c r="L256" s="24"/>
      <c r="M256" s="10"/>
      <c r="N256" s="10"/>
    </row>
    <row r="257" spans="1:14" ht="37.5" customHeight="1">
      <c r="A257" s="6" t="s">
        <v>777</v>
      </c>
      <c r="B257" s="55" t="s">
        <v>778</v>
      </c>
      <c r="C257" s="10"/>
      <c r="D257" s="53" t="s">
        <v>779</v>
      </c>
      <c r="E257" s="53" t="s">
        <v>780</v>
      </c>
      <c r="F257" s="6" t="s">
        <v>781</v>
      </c>
      <c r="G257" s="24" t="s">
        <v>4</v>
      </c>
      <c r="H257" s="10"/>
      <c r="I257" s="10"/>
      <c r="J257" s="57" t="s">
        <v>38</v>
      </c>
      <c r="K257" s="10"/>
      <c r="L257" s="24"/>
      <c r="M257" s="10"/>
      <c r="N257" s="10"/>
    </row>
    <row r="258" spans="1:14" ht="37.5" customHeight="1">
      <c r="A258" s="6" t="s">
        <v>782</v>
      </c>
      <c r="B258" s="55" t="s">
        <v>783</v>
      </c>
      <c r="C258" s="10"/>
      <c r="D258" s="53" t="s">
        <v>784</v>
      </c>
      <c r="E258" s="53" t="s">
        <v>780</v>
      </c>
      <c r="F258" s="6" t="s">
        <v>781</v>
      </c>
      <c r="G258" s="24" t="s">
        <v>4</v>
      </c>
      <c r="H258" s="10"/>
      <c r="I258" s="10"/>
      <c r="J258" s="57" t="s">
        <v>38</v>
      </c>
      <c r="K258" s="10"/>
      <c r="L258" s="24"/>
      <c r="M258" s="10"/>
      <c r="N258" s="10"/>
    </row>
    <row r="259" spans="1:14">
      <c r="B259" s="6"/>
      <c r="C259" s="10"/>
      <c r="D259" s="9"/>
      <c r="E259" s="9"/>
      <c r="F259" s="6"/>
      <c r="G259" s="24"/>
      <c r="H259" s="10"/>
      <c r="I259" s="10"/>
      <c r="J259" s="10"/>
      <c r="K259" s="10"/>
      <c r="L259" s="24"/>
      <c r="M259" s="10"/>
      <c r="N259" s="10"/>
    </row>
    <row r="260" spans="1:14">
      <c r="A260" s="56" t="s">
        <v>785</v>
      </c>
      <c r="B260" s="33"/>
      <c r="C260" s="65" t="s">
        <v>45</v>
      </c>
      <c r="D260" s="35"/>
      <c r="E260" s="36"/>
      <c r="F260" s="37"/>
      <c r="G260" s="38"/>
      <c r="H260" s="34"/>
      <c r="I260" s="34"/>
      <c r="J260" s="34"/>
      <c r="K260" s="34"/>
      <c r="L260" s="38"/>
      <c r="M260" s="34"/>
      <c r="N260" s="34"/>
    </row>
    <row r="261" spans="1:14" ht="56.25" customHeight="1">
      <c r="A261" s="6" t="s">
        <v>786</v>
      </c>
      <c r="B261" s="55" t="s">
        <v>787</v>
      </c>
      <c r="C261" s="10"/>
      <c r="D261" s="53" t="s">
        <v>788</v>
      </c>
      <c r="E261" s="53" t="s">
        <v>789</v>
      </c>
      <c r="F261" s="6" t="s">
        <v>790</v>
      </c>
      <c r="G261" s="24" t="s">
        <v>4</v>
      </c>
      <c r="H261" s="57" t="s">
        <v>38</v>
      </c>
      <c r="I261" s="10"/>
      <c r="J261" s="57"/>
      <c r="K261" s="10"/>
      <c r="L261" s="24"/>
      <c r="M261" s="10"/>
      <c r="N261" s="10"/>
    </row>
    <row r="262" spans="1:14">
      <c r="B262" s="6"/>
      <c r="C262" s="10"/>
      <c r="D262" s="9"/>
      <c r="E262" s="9"/>
      <c r="F262" s="6"/>
      <c r="G262" s="24"/>
      <c r="H262" s="10"/>
      <c r="I262" s="10"/>
      <c r="J262" s="10"/>
      <c r="K262" s="10"/>
      <c r="L262" s="24"/>
      <c r="M262" s="10"/>
      <c r="N262" s="10"/>
    </row>
    <row r="263" spans="1:14">
      <c r="A263" s="63" t="s">
        <v>791</v>
      </c>
      <c r="B263" s="22"/>
      <c r="C263" s="66" t="s">
        <v>463</v>
      </c>
      <c r="D263" s="80"/>
      <c r="E263" s="80"/>
      <c r="F263" s="22"/>
      <c r="G263" s="28"/>
      <c r="H263" s="23"/>
      <c r="I263" s="23"/>
      <c r="J263" s="23"/>
      <c r="K263" s="23"/>
      <c r="L263" s="28"/>
      <c r="M263" s="23"/>
      <c r="N263" s="23"/>
    </row>
    <row r="264" spans="1:14" ht="58.5" customHeight="1">
      <c r="A264" s="6" t="s">
        <v>792</v>
      </c>
      <c r="B264" s="55" t="s">
        <v>793</v>
      </c>
      <c r="C264" s="10"/>
      <c r="D264" s="53" t="s">
        <v>794</v>
      </c>
      <c r="E264" s="53" t="s">
        <v>795</v>
      </c>
      <c r="F264" s="6" t="s">
        <v>796</v>
      </c>
      <c r="G264" s="24" t="s">
        <v>4</v>
      </c>
      <c r="H264" s="57" t="s">
        <v>38</v>
      </c>
      <c r="I264" s="10"/>
      <c r="J264" s="10"/>
      <c r="K264" s="10"/>
      <c r="L264" s="24"/>
      <c r="M264" s="10"/>
      <c r="N264" s="10"/>
    </row>
    <row r="265" spans="1:14">
      <c r="B265" s="6"/>
      <c r="C265" s="10"/>
      <c r="D265" s="9"/>
      <c r="E265" s="9"/>
      <c r="F265" s="6"/>
      <c r="G265" s="24"/>
      <c r="H265" s="10"/>
      <c r="I265" s="10"/>
      <c r="J265" s="10"/>
      <c r="K265" s="10"/>
      <c r="L265" s="24"/>
      <c r="M265" s="10"/>
      <c r="N265" s="10"/>
    </row>
    <row r="266" spans="1:14">
      <c r="A266" s="63" t="s">
        <v>797</v>
      </c>
      <c r="B266" s="22"/>
      <c r="C266" s="62"/>
      <c r="D266" s="80"/>
      <c r="E266" s="80"/>
      <c r="F266" s="22"/>
      <c r="G266" s="28"/>
      <c r="H266" s="23"/>
      <c r="I266" s="23"/>
      <c r="J266" s="23"/>
      <c r="K266" s="23"/>
      <c r="L266" s="28"/>
      <c r="M266" s="23"/>
      <c r="N266" s="23"/>
    </row>
    <row r="267" spans="1:14">
      <c r="A267" s="56" t="s">
        <v>798</v>
      </c>
      <c r="B267" s="33"/>
      <c r="C267" s="65" t="s">
        <v>799</v>
      </c>
      <c r="D267" s="35"/>
      <c r="E267" s="36"/>
      <c r="F267" s="37"/>
      <c r="G267" s="38"/>
      <c r="H267" s="34"/>
      <c r="I267" s="34"/>
      <c r="J267" s="34"/>
      <c r="K267" s="34"/>
      <c r="L267" s="38"/>
      <c r="M267" s="34"/>
      <c r="N267" s="34"/>
    </row>
    <row r="268" spans="1:14" ht="58.5" customHeight="1">
      <c r="A268" s="6" t="s">
        <v>800</v>
      </c>
      <c r="B268" s="55" t="s">
        <v>801</v>
      </c>
      <c r="C268" s="57"/>
      <c r="D268" s="53" t="s">
        <v>802</v>
      </c>
      <c r="E268" s="53" t="s">
        <v>803</v>
      </c>
      <c r="F268" s="6" t="s">
        <v>804</v>
      </c>
      <c r="G268" s="24" t="s">
        <v>4</v>
      </c>
      <c r="H268" s="92"/>
      <c r="I268" s="57" t="s">
        <v>38</v>
      </c>
      <c r="J268" s="57"/>
      <c r="K268" s="10"/>
      <c r="L268" s="24"/>
      <c r="M268" s="10"/>
      <c r="N268" s="10"/>
    </row>
    <row r="269" spans="1:14" ht="114" customHeight="1">
      <c r="A269" s="6" t="s">
        <v>805</v>
      </c>
      <c r="B269" s="55" t="s">
        <v>806</v>
      </c>
      <c r="C269" s="10"/>
      <c r="D269" s="53" t="s">
        <v>807</v>
      </c>
      <c r="E269" s="53" t="s">
        <v>808</v>
      </c>
      <c r="F269" s="6" t="s">
        <v>809</v>
      </c>
      <c r="G269" s="24" t="s">
        <v>4</v>
      </c>
      <c r="H269" s="10"/>
      <c r="I269" s="57" t="s">
        <v>38</v>
      </c>
      <c r="J269" s="10"/>
      <c r="K269" s="10"/>
      <c r="L269" s="24"/>
      <c r="M269" s="10"/>
      <c r="N269" s="10"/>
    </row>
    <row r="270" spans="1:14" ht="116.25" customHeight="1">
      <c r="A270" s="6" t="s">
        <v>810</v>
      </c>
      <c r="B270" s="55" t="s">
        <v>811</v>
      </c>
      <c r="C270" s="10"/>
      <c r="D270" s="53" t="s">
        <v>812</v>
      </c>
      <c r="E270" s="53" t="s">
        <v>808</v>
      </c>
      <c r="F270" s="6" t="s">
        <v>809</v>
      </c>
      <c r="G270" s="24" t="s">
        <v>4</v>
      </c>
      <c r="H270" s="10"/>
      <c r="I270" s="57" t="s">
        <v>38</v>
      </c>
      <c r="J270" s="10"/>
      <c r="K270" s="10"/>
      <c r="L270" s="24"/>
      <c r="M270" s="10"/>
      <c r="N270" s="10"/>
    </row>
    <row r="271" spans="1:14">
      <c r="B271" s="41"/>
      <c r="C271" s="13"/>
      <c r="D271" s="42"/>
      <c r="E271" s="42"/>
      <c r="F271" s="43"/>
      <c r="G271" s="43"/>
      <c r="H271" s="13"/>
      <c r="I271" s="13"/>
      <c r="J271" s="13"/>
      <c r="K271" s="13"/>
      <c r="L271" s="13"/>
      <c r="M271" s="43"/>
      <c r="N271" s="43"/>
    </row>
    <row r="272" spans="1:14">
      <c r="A272" s="56" t="s">
        <v>813</v>
      </c>
      <c r="B272" s="33"/>
      <c r="C272" s="65" t="s">
        <v>799</v>
      </c>
      <c r="D272" s="35"/>
      <c r="E272" s="36"/>
      <c r="F272" s="37"/>
      <c r="G272" s="38"/>
      <c r="H272" s="34"/>
      <c r="I272" s="34"/>
      <c r="J272" s="34"/>
      <c r="K272" s="34"/>
      <c r="L272" s="38"/>
      <c r="M272" s="34"/>
      <c r="N272" s="34"/>
    </row>
    <row r="273" spans="1:14" ht="56.25" customHeight="1">
      <c r="A273" s="6" t="s">
        <v>814</v>
      </c>
      <c r="B273" s="55" t="s">
        <v>815</v>
      </c>
      <c r="C273" s="10"/>
      <c r="D273" s="53" t="s">
        <v>816</v>
      </c>
      <c r="E273" s="53" t="s">
        <v>817</v>
      </c>
      <c r="F273" s="6" t="s">
        <v>818</v>
      </c>
      <c r="G273" s="24" t="s">
        <v>4</v>
      </c>
      <c r="H273" s="10"/>
      <c r="I273" s="10"/>
      <c r="J273" s="57" t="s">
        <v>38</v>
      </c>
      <c r="K273" s="10"/>
      <c r="L273" s="24"/>
      <c r="M273" s="10"/>
      <c r="N273" s="10"/>
    </row>
    <row r="274" spans="1:14" ht="96" customHeight="1">
      <c r="A274" s="6" t="s">
        <v>819</v>
      </c>
      <c r="B274" s="55" t="s">
        <v>820</v>
      </c>
      <c r="C274" s="10"/>
      <c r="D274" s="53" t="s">
        <v>821</v>
      </c>
      <c r="E274" s="53" t="s">
        <v>822</v>
      </c>
      <c r="F274" s="6" t="s">
        <v>823</v>
      </c>
      <c r="G274" s="24" t="s">
        <v>4</v>
      </c>
      <c r="H274" s="10"/>
      <c r="I274" s="10"/>
      <c r="J274" s="57" t="s">
        <v>38</v>
      </c>
      <c r="K274" s="10"/>
      <c r="L274" s="24"/>
      <c r="M274" s="10"/>
      <c r="N274" s="10"/>
    </row>
    <row r="275" spans="1:14">
      <c r="B275" s="6"/>
      <c r="C275" s="10"/>
      <c r="D275" s="9"/>
      <c r="E275" s="9"/>
      <c r="F275" s="6"/>
      <c r="G275" s="24"/>
      <c r="H275" s="10"/>
      <c r="I275" s="10"/>
      <c r="J275" s="10"/>
      <c r="K275" s="10"/>
      <c r="L275" s="24"/>
      <c r="M275" s="10"/>
      <c r="N275" s="10"/>
    </row>
    <row r="276" spans="1:14">
      <c r="A276" s="56" t="s">
        <v>824</v>
      </c>
      <c r="B276" s="33"/>
      <c r="C276" s="65" t="s">
        <v>799</v>
      </c>
      <c r="D276" s="35"/>
      <c r="E276" s="36"/>
      <c r="F276" s="37"/>
      <c r="G276" s="38"/>
      <c r="H276" s="34"/>
      <c r="I276" s="34"/>
      <c r="J276" s="34"/>
      <c r="K276" s="34"/>
      <c r="L276" s="38"/>
      <c r="M276" s="34"/>
      <c r="N276" s="34"/>
    </row>
    <row r="277" spans="1:14" ht="56.25" customHeight="1">
      <c r="A277" s="6" t="s">
        <v>825</v>
      </c>
      <c r="B277" s="55" t="s">
        <v>826</v>
      </c>
      <c r="C277" s="10"/>
      <c r="D277" s="53" t="s">
        <v>827</v>
      </c>
      <c r="E277" s="53" t="s">
        <v>828</v>
      </c>
      <c r="F277" s="6" t="s">
        <v>829</v>
      </c>
      <c r="G277" s="24" t="s">
        <v>4</v>
      </c>
      <c r="H277" s="10"/>
      <c r="I277" s="10"/>
      <c r="J277" s="57" t="s">
        <v>38</v>
      </c>
      <c r="K277" s="10"/>
      <c r="L277" s="24"/>
      <c r="M277" s="10"/>
      <c r="N277" s="10"/>
    </row>
    <row r="278" spans="1:14" ht="37.5" customHeight="1">
      <c r="A278" s="6" t="s">
        <v>830</v>
      </c>
      <c r="B278" s="55" t="s">
        <v>831</v>
      </c>
      <c r="C278" s="10"/>
      <c r="D278" s="53" t="s">
        <v>832</v>
      </c>
      <c r="E278" s="53" t="s">
        <v>833</v>
      </c>
      <c r="F278" s="6" t="s">
        <v>834</v>
      </c>
      <c r="G278" s="24" t="s">
        <v>4</v>
      </c>
      <c r="H278" s="10"/>
      <c r="I278" s="10"/>
      <c r="J278" s="57" t="s">
        <v>38</v>
      </c>
      <c r="K278" s="10"/>
      <c r="L278" s="24"/>
      <c r="M278" s="10"/>
      <c r="N278" s="10"/>
    </row>
    <row r="279" spans="1:14" ht="75" customHeight="1">
      <c r="A279" s="6" t="s">
        <v>835</v>
      </c>
      <c r="B279" s="55" t="s">
        <v>836</v>
      </c>
      <c r="C279" s="10"/>
      <c r="D279" s="53" t="s">
        <v>837</v>
      </c>
      <c r="E279" s="53" t="s">
        <v>838</v>
      </c>
      <c r="F279" s="6" t="s">
        <v>839</v>
      </c>
      <c r="G279" s="24" t="s">
        <v>4</v>
      </c>
      <c r="H279" s="10"/>
      <c r="I279" s="10"/>
      <c r="J279" s="57" t="s">
        <v>38</v>
      </c>
      <c r="K279" s="10"/>
      <c r="L279" s="24"/>
      <c r="M279" s="10"/>
      <c r="N279" s="10"/>
    </row>
    <row r="280" spans="1:14" ht="37.5" customHeight="1">
      <c r="A280" s="6" t="s">
        <v>840</v>
      </c>
      <c r="B280" s="6" t="s">
        <v>841</v>
      </c>
      <c r="C280" s="10"/>
      <c r="D280" s="9" t="s">
        <v>842</v>
      </c>
      <c r="E280" s="9" t="s">
        <v>843</v>
      </c>
      <c r="F280" s="6" t="s">
        <v>844</v>
      </c>
      <c r="G280" s="24" t="s">
        <v>4</v>
      </c>
      <c r="H280" s="10"/>
      <c r="I280" s="10"/>
      <c r="J280" s="57" t="s">
        <v>38</v>
      </c>
      <c r="K280" s="10"/>
      <c r="L280" s="24"/>
      <c r="M280" s="10"/>
      <c r="N280" s="10"/>
    </row>
    <row r="281" spans="1:14" ht="75" customHeight="1">
      <c r="A281" s="6" t="s">
        <v>845</v>
      </c>
      <c r="B281" s="6" t="s">
        <v>515</v>
      </c>
      <c r="C281" s="10"/>
      <c r="D281" s="9" t="s">
        <v>846</v>
      </c>
      <c r="E281" s="9" t="s">
        <v>847</v>
      </c>
      <c r="F281" s="6"/>
      <c r="G281" s="24" t="s">
        <v>4</v>
      </c>
      <c r="H281" s="10"/>
      <c r="I281" s="10"/>
      <c r="J281" s="57" t="s">
        <v>38</v>
      </c>
      <c r="K281" s="10"/>
      <c r="L281" s="24"/>
      <c r="M281" s="10"/>
      <c r="N281" s="10"/>
    </row>
    <row r="282" spans="1:14">
      <c r="B282" s="6"/>
      <c r="C282" s="10"/>
      <c r="D282" s="9"/>
      <c r="E282" s="9"/>
      <c r="F282" s="6"/>
      <c r="G282" s="24"/>
      <c r="H282" s="10"/>
      <c r="I282" s="10"/>
      <c r="J282" s="10"/>
      <c r="K282" s="10"/>
      <c r="L282" s="24"/>
      <c r="M282" s="10"/>
      <c r="N282" s="10"/>
    </row>
    <row r="283" spans="1:14">
      <c r="A283" s="56" t="s">
        <v>848</v>
      </c>
      <c r="B283" s="33"/>
      <c r="C283" s="65" t="s">
        <v>45</v>
      </c>
      <c r="D283" s="35"/>
      <c r="E283" s="36"/>
      <c r="F283" s="37"/>
      <c r="G283" s="38"/>
      <c r="H283" s="34"/>
      <c r="I283" s="34"/>
      <c r="J283" s="34"/>
      <c r="K283" s="34"/>
      <c r="L283" s="38"/>
      <c r="M283" s="34"/>
      <c r="N283" s="34"/>
    </row>
    <row r="284" spans="1:14" ht="56.25" customHeight="1">
      <c r="A284" s="6" t="s">
        <v>849</v>
      </c>
      <c r="B284" s="55" t="s">
        <v>850</v>
      </c>
      <c r="C284" s="10"/>
      <c r="D284" s="53" t="s">
        <v>851</v>
      </c>
      <c r="E284" s="53" t="s">
        <v>852</v>
      </c>
      <c r="F284" s="6" t="s">
        <v>853</v>
      </c>
      <c r="G284" s="24" t="s">
        <v>4</v>
      </c>
      <c r="H284" s="57" t="s">
        <v>38</v>
      </c>
      <c r="I284" s="10"/>
      <c r="J284" s="92"/>
      <c r="K284" s="10"/>
      <c r="L284" s="24"/>
      <c r="M284" s="10"/>
      <c r="N284" s="10"/>
    </row>
    <row r="285" spans="1:14" ht="60" customHeight="1">
      <c r="A285" s="6" t="s">
        <v>854</v>
      </c>
      <c r="B285" s="6" t="s">
        <v>855</v>
      </c>
      <c r="C285" s="10"/>
      <c r="D285" s="9" t="s">
        <v>856</v>
      </c>
      <c r="E285" s="9" t="s">
        <v>857</v>
      </c>
      <c r="F285" s="6" t="s">
        <v>858</v>
      </c>
      <c r="G285" s="24" t="s">
        <v>4</v>
      </c>
      <c r="H285" s="57" t="s">
        <v>38</v>
      </c>
      <c r="I285" s="10"/>
      <c r="J285" s="10"/>
      <c r="K285" s="10"/>
      <c r="L285" s="24"/>
      <c r="M285" s="10"/>
      <c r="N285" s="10"/>
    </row>
    <row r="286" spans="1:14" ht="41.25" customHeight="1">
      <c r="A286" s="6" t="s">
        <v>859</v>
      </c>
      <c r="B286" s="6" t="s">
        <v>364</v>
      </c>
      <c r="C286" s="10"/>
      <c r="D286" s="9" t="s">
        <v>860</v>
      </c>
      <c r="E286" s="9" t="s">
        <v>780</v>
      </c>
      <c r="F286" s="6" t="s">
        <v>781</v>
      </c>
      <c r="G286" s="24" t="s">
        <v>4</v>
      </c>
      <c r="H286" s="57" t="s">
        <v>38</v>
      </c>
      <c r="I286" s="10"/>
      <c r="J286" s="10"/>
      <c r="K286" s="10"/>
      <c r="L286" s="24"/>
      <c r="M286" s="10"/>
      <c r="N286" s="10"/>
    </row>
    <row r="287" spans="1:14" ht="41.25" customHeight="1">
      <c r="A287" s="6" t="s">
        <v>861</v>
      </c>
      <c r="B287" s="6" t="s">
        <v>862</v>
      </c>
      <c r="C287" s="10"/>
      <c r="D287" s="9" t="s">
        <v>863</v>
      </c>
      <c r="E287" s="9" t="s">
        <v>864</v>
      </c>
      <c r="F287" s="6" t="s">
        <v>865</v>
      </c>
      <c r="G287" s="24" t="s">
        <v>4</v>
      </c>
      <c r="H287" s="57" t="s">
        <v>38</v>
      </c>
      <c r="I287" s="10"/>
      <c r="J287" s="10"/>
      <c r="K287" s="10"/>
      <c r="L287" s="24"/>
      <c r="M287" s="10"/>
      <c r="N287" s="10"/>
    </row>
    <row r="288" spans="1:14">
      <c r="B288" s="6"/>
      <c r="C288" s="10"/>
      <c r="D288" s="9"/>
      <c r="E288" s="9"/>
      <c r="F288" s="6"/>
      <c r="G288" s="24"/>
      <c r="H288" s="10"/>
      <c r="I288" s="10"/>
      <c r="J288" s="10"/>
      <c r="K288" s="10"/>
      <c r="L288" s="24"/>
      <c r="M288" s="10"/>
      <c r="N288" s="10"/>
    </row>
    <row r="289" spans="1:14">
      <c r="A289" s="56" t="s">
        <v>866</v>
      </c>
      <c r="B289" s="33"/>
      <c r="C289" s="65" t="s">
        <v>45</v>
      </c>
      <c r="D289" s="35"/>
      <c r="E289" s="36"/>
      <c r="F289" s="37"/>
      <c r="G289" s="38"/>
      <c r="H289" s="34"/>
      <c r="I289" s="34"/>
      <c r="J289" s="34"/>
      <c r="K289" s="34"/>
      <c r="L289" s="38"/>
      <c r="M289" s="34"/>
      <c r="N289" s="34"/>
    </row>
    <row r="290" spans="1:14" ht="75" customHeight="1">
      <c r="A290" s="6" t="s">
        <v>867</v>
      </c>
      <c r="B290" s="55" t="s">
        <v>868</v>
      </c>
      <c r="C290" s="10"/>
      <c r="D290" s="53" t="s">
        <v>869</v>
      </c>
      <c r="E290" s="53" t="s">
        <v>870</v>
      </c>
      <c r="F290" s="6" t="s">
        <v>871</v>
      </c>
      <c r="G290" s="24" t="s">
        <v>4</v>
      </c>
      <c r="H290" s="57" t="s">
        <v>38</v>
      </c>
      <c r="I290" s="10"/>
      <c r="J290" s="92"/>
      <c r="K290" s="10"/>
      <c r="L290" s="24"/>
      <c r="M290" s="10"/>
      <c r="N290" s="10"/>
    </row>
    <row r="291" spans="1:14">
      <c r="B291" s="6"/>
      <c r="C291" s="10"/>
      <c r="D291" s="9"/>
      <c r="E291" s="9"/>
      <c r="F291" s="6"/>
      <c r="G291" s="24"/>
      <c r="H291" s="10"/>
      <c r="I291" s="10"/>
      <c r="J291" s="10"/>
      <c r="K291" s="10"/>
      <c r="L291" s="24"/>
      <c r="M291" s="10"/>
      <c r="N291" s="10"/>
    </row>
    <row r="292" spans="1:14">
      <c r="A292" s="56" t="s">
        <v>872</v>
      </c>
      <c r="B292" s="33"/>
      <c r="C292" s="65" t="s">
        <v>45</v>
      </c>
      <c r="D292" s="35"/>
      <c r="E292" s="36"/>
      <c r="F292" s="37"/>
      <c r="G292" s="38"/>
      <c r="H292" s="34"/>
      <c r="I292" s="34"/>
      <c r="J292" s="34"/>
      <c r="K292" s="34"/>
      <c r="L292" s="38"/>
      <c r="M292" s="34"/>
      <c r="N292" s="34"/>
    </row>
    <row r="293" spans="1:14" ht="56.25" customHeight="1">
      <c r="A293" s="6" t="s">
        <v>873</v>
      </c>
      <c r="B293" s="55" t="s">
        <v>874</v>
      </c>
      <c r="C293" s="10"/>
      <c r="D293" s="53" t="s">
        <v>875</v>
      </c>
      <c r="E293" s="53" t="s">
        <v>275</v>
      </c>
      <c r="F293" s="6" t="s">
        <v>276</v>
      </c>
      <c r="G293" s="24" t="s">
        <v>4</v>
      </c>
      <c r="H293" s="57" t="s">
        <v>38</v>
      </c>
      <c r="I293" s="10"/>
      <c r="J293" s="92"/>
      <c r="K293" s="10"/>
      <c r="L293" s="24"/>
      <c r="M293" s="10"/>
      <c r="N293" s="88" t="s">
        <v>876</v>
      </c>
    </row>
    <row r="294" spans="1:14">
      <c r="B294" s="6"/>
      <c r="C294" s="10"/>
      <c r="D294" s="9"/>
      <c r="E294" s="9"/>
      <c r="F294" s="6"/>
      <c r="G294" s="24"/>
      <c r="H294" s="10"/>
      <c r="I294" s="10"/>
      <c r="J294" s="10"/>
      <c r="K294" s="10"/>
      <c r="L294" s="24"/>
      <c r="M294" s="10"/>
      <c r="N294" s="10"/>
    </row>
    <row r="295" spans="1:14">
      <c r="A295" s="56" t="s">
        <v>877</v>
      </c>
      <c r="B295" s="33"/>
      <c r="C295" s="65" t="s">
        <v>45</v>
      </c>
      <c r="D295" s="35"/>
      <c r="E295" s="36"/>
      <c r="F295" s="37"/>
      <c r="G295" s="38"/>
      <c r="H295" s="34"/>
      <c r="I295" s="34"/>
      <c r="J295" s="34"/>
      <c r="K295" s="34"/>
      <c r="L295" s="38"/>
      <c r="M295" s="34"/>
      <c r="N295" s="34"/>
    </row>
    <row r="296" spans="1:14" ht="43.5" customHeight="1">
      <c r="A296" s="6" t="s">
        <v>878</v>
      </c>
      <c r="B296" s="55" t="s">
        <v>879</v>
      </c>
      <c r="C296" s="10"/>
      <c r="D296" s="53" t="s">
        <v>880</v>
      </c>
      <c r="E296" s="53" t="s">
        <v>881</v>
      </c>
      <c r="F296" s="6" t="s">
        <v>264</v>
      </c>
      <c r="G296" s="24" t="s">
        <v>4</v>
      </c>
      <c r="H296" s="57" t="s">
        <v>38</v>
      </c>
      <c r="I296" s="10"/>
      <c r="J296" s="92"/>
      <c r="K296" s="10"/>
      <c r="L296" s="24"/>
      <c r="M296" s="10"/>
      <c r="N296" s="10"/>
    </row>
    <row r="297" spans="1:14">
      <c r="B297" s="6"/>
      <c r="C297" s="10"/>
      <c r="D297" s="9"/>
      <c r="E297" s="9"/>
      <c r="F297" s="6"/>
      <c r="G297" s="24"/>
      <c r="H297" s="10"/>
      <c r="I297" s="10"/>
      <c r="J297" s="10"/>
      <c r="K297" s="10"/>
      <c r="L297" s="24"/>
      <c r="M297" s="10"/>
      <c r="N297" s="10"/>
    </row>
    <row r="298" spans="1:14">
      <c r="A298" s="56" t="s">
        <v>882</v>
      </c>
      <c r="B298" s="33"/>
      <c r="C298" s="65" t="s">
        <v>371</v>
      </c>
      <c r="D298" s="35"/>
      <c r="E298" s="36"/>
      <c r="F298" s="37"/>
      <c r="G298" s="38"/>
      <c r="H298" s="34"/>
      <c r="I298" s="34"/>
      <c r="J298" s="34"/>
      <c r="K298" s="34"/>
      <c r="L298" s="38"/>
      <c r="M298" s="34"/>
      <c r="N298" s="34"/>
    </row>
    <row r="299" spans="1:14" ht="43.5" customHeight="1">
      <c r="A299" s="6" t="s">
        <v>883</v>
      </c>
      <c r="B299" s="55" t="s">
        <v>884</v>
      </c>
      <c r="C299" s="10"/>
      <c r="D299" s="53" t="s">
        <v>885</v>
      </c>
      <c r="E299" s="53" t="s">
        <v>886</v>
      </c>
      <c r="F299" s="6" t="s">
        <v>887</v>
      </c>
      <c r="G299" s="24" t="s">
        <v>4</v>
      </c>
      <c r="H299" s="10"/>
      <c r="I299" s="10"/>
      <c r="J299" s="10" t="s">
        <v>38</v>
      </c>
      <c r="K299" s="10"/>
      <c r="L299" s="24"/>
      <c r="M299" s="10"/>
      <c r="N299" s="10"/>
    </row>
    <row r="300" spans="1:14" ht="56.25" customHeight="1">
      <c r="A300" s="6" t="s">
        <v>888</v>
      </c>
      <c r="B300" s="6" t="s">
        <v>889</v>
      </c>
      <c r="C300" s="10"/>
      <c r="D300" s="9" t="s">
        <v>890</v>
      </c>
      <c r="E300" s="9" t="s">
        <v>891</v>
      </c>
      <c r="F300" s="6" t="s">
        <v>892</v>
      </c>
      <c r="G300" s="24" t="s">
        <v>4</v>
      </c>
      <c r="H300" s="10"/>
      <c r="I300" s="10"/>
      <c r="J300" s="10" t="s">
        <v>38</v>
      </c>
      <c r="K300" s="10"/>
      <c r="L300" s="24"/>
      <c r="M300" s="10" t="s">
        <v>893</v>
      </c>
      <c r="N300" s="10"/>
    </row>
    <row r="301" spans="1:14">
      <c r="B301" s="6"/>
      <c r="C301" s="10"/>
      <c r="D301" s="9"/>
      <c r="E301" s="9"/>
      <c r="F301" s="6"/>
      <c r="G301" s="24"/>
      <c r="H301" s="10"/>
      <c r="I301" s="10"/>
      <c r="J301" s="10"/>
      <c r="K301" s="10"/>
      <c r="L301" s="24"/>
      <c r="M301" s="10"/>
      <c r="N301" s="10"/>
    </row>
    <row r="302" spans="1:14">
      <c r="A302" s="56" t="s">
        <v>894</v>
      </c>
      <c r="B302" s="33"/>
      <c r="C302" s="65" t="s">
        <v>371</v>
      </c>
      <c r="D302" s="35"/>
      <c r="E302" s="36"/>
      <c r="F302" s="37"/>
      <c r="G302" s="38"/>
      <c r="H302" s="34"/>
      <c r="I302" s="34"/>
      <c r="J302" s="34"/>
      <c r="K302" s="34"/>
      <c r="L302" s="38"/>
      <c r="M302" s="34"/>
      <c r="N302" s="34"/>
    </row>
    <row r="303" spans="1:14" ht="56.25" customHeight="1">
      <c r="A303" s="6" t="s">
        <v>895</v>
      </c>
      <c r="B303" s="55" t="s">
        <v>896</v>
      </c>
      <c r="C303" s="10"/>
      <c r="D303" s="53" t="s">
        <v>897</v>
      </c>
      <c r="E303" s="53" t="s">
        <v>898</v>
      </c>
      <c r="F303" s="6" t="s">
        <v>899</v>
      </c>
      <c r="G303" s="24" t="s">
        <v>4</v>
      </c>
      <c r="H303" s="10"/>
      <c r="I303" s="10"/>
      <c r="J303" s="10" t="s">
        <v>38</v>
      </c>
      <c r="K303" s="10"/>
      <c r="L303" s="24"/>
      <c r="M303" s="10"/>
      <c r="N303" s="10"/>
    </row>
    <row r="304" spans="1:14" ht="75.75" customHeight="1">
      <c r="A304" s="6" t="s">
        <v>900</v>
      </c>
      <c r="B304" s="55" t="s">
        <v>901</v>
      </c>
      <c r="C304" s="10"/>
      <c r="D304" s="53" t="s">
        <v>902</v>
      </c>
      <c r="E304" s="53" t="s">
        <v>891</v>
      </c>
      <c r="F304" s="6" t="s">
        <v>903</v>
      </c>
      <c r="G304" s="24" t="s">
        <v>4</v>
      </c>
      <c r="H304" s="10"/>
      <c r="I304" s="10"/>
      <c r="J304" s="10" t="s">
        <v>38</v>
      </c>
      <c r="K304" s="10"/>
      <c r="L304" s="24"/>
      <c r="M304" s="10"/>
      <c r="N304" s="10"/>
    </row>
    <row r="305" spans="1:14" ht="75.75" customHeight="1">
      <c r="A305" s="6" t="s">
        <v>904</v>
      </c>
      <c r="B305" s="55" t="s">
        <v>905</v>
      </c>
      <c r="C305" s="10"/>
      <c r="D305" s="53" t="s">
        <v>906</v>
      </c>
      <c r="E305" s="53" t="s">
        <v>891</v>
      </c>
      <c r="F305" s="6" t="s">
        <v>903</v>
      </c>
      <c r="G305" s="24" t="s">
        <v>4</v>
      </c>
      <c r="H305" s="10"/>
      <c r="I305" s="10"/>
      <c r="J305" s="10" t="s">
        <v>38</v>
      </c>
      <c r="K305" s="10"/>
      <c r="L305" s="24"/>
      <c r="M305" s="10"/>
      <c r="N305" s="10"/>
    </row>
    <row r="306" spans="1:14">
      <c r="B306" s="55"/>
      <c r="C306" s="10"/>
      <c r="D306" s="53"/>
      <c r="E306" s="53"/>
      <c r="F306" s="6"/>
      <c r="G306" s="24"/>
      <c r="H306" s="10"/>
      <c r="I306" s="10"/>
      <c r="J306" s="10"/>
      <c r="K306" s="10"/>
      <c r="L306" s="24"/>
      <c r="M306" s="10"/>
      <c r="N306" s="10"/>
    </row>
    <row r="307" spans="1:14">
      <c r="A307" s="56" t="s">
        <v>907</v>
      </c>
      <c r="B307" s="33"/>
      <c r="C307" s="65" t="s">
        <v>45</v>
      </c>
      <c r="D307" s="35"/>
      <c r="E307" s="36"/>
      <c r="F307" s="37"/>
      <c r="G307" s="38"/>
      <c r="H307" s="34"/>
      <c r="I307" s="34"/>
      <c r="J307" s="34"/>
      <c r="K307" s="34"/>
      <c r="L307" s="38"/>
      <c r="M307" s="34"/>
      <c r="N307" s="34"/>
    </row>
    <row r="308" spans="1:14" ht="58.5" customHeight="1">
      <c r="A308" s="6" t="s">
        <v>908</v>
      </c>
      <c r="B308" s="55" t="s">
        <v>909</v>
      </c>
      <c r="C308" s="10"/>
      <c r="D308" s="53" t="s">
        <v>910</v>
      </c>
      <c r="E308" s="53" t="s">
        <v>911</v>
      </c>
      <c r="F308" s="6" t="s">
        <v>912</v>
      </c>
      <c r="G308" s="24" t="s">
        <v>4</v>
      </c>
      <c r="H308" s="10" t="s">
        <v>38</v>
      </c>
      <c r="I308" s="10"/>
      <c r="J308" s="10"/>
      <c r="K308" s="10"/>
      <c r="L308" s="24"/>
      <c r="M308" s="10"/>
      <c r="N308" s="10"/>
    </row>
    <row r="309" spans="1:14" ht="56.25" customHeight="1">
      <c r="A309" s="6" t="s">
        <v>913</v>
      </c>
      <c r="B309" s="6" t="s">
        <v>889</v>
      </c>
      <c r="C309" s="10"/>
      <c r="D309" s="9" t="s">
        <v>914</v>
      </c>
      <c r="E309" s="9" t="s">
        <v>891</v>
      </c>
      <c r="F309" s="6" t="s">
        <v>915</v>
      </c>
      <c r="G309" s="24" t="s">
        <v>4</v>
      </c>
      <c r="H309" s="10" t="s">
        <v>38</v>
      </c>
      <c r="I309" s="10"/>
      <c r="J309" s="10"/>
      <c r="K309" s="10"/>
      <c r="L309" s="24"/>
      <c r="M309" s="10"/>
      <c r="N309" s="10"/>
    </row>
    <row r="310" spans="1:14">
      <c r="B310" s="6"/>
      <c r="C310" s="10"/>
      <c r="D310" s="9"/>
      <c r="E310" s="9"/>
      <c r="F310" s="6"/>
      <c r="G310" s="24"/>
      <c r="H310" s="10"/>
      <c r="I310" s="10"/>
      <c r="J310" s="10"/>
      <c r="K310" s="10"/>
      <c r="L310" s="24"/>
      <c r="M310" s="10"/>
      <c r="N310" s="10"/>
    </row>
    <row r="311" spans="1:14">
      <c r="A311" s="67" t="s">
        <v>916</v>
      </c>
      <c r="B311" s="33"/>
      <c r="C311" s="65" t="s">
        <v>45</v>
      </c>
      <c r="D311" s="35"/>
      <c r="E311" s="36"/>
      <c r="F311" s="37"/>
      <c r="G311" s="38"/>
      <c r="H311" s="34"/>
      <c r="I311" s="34"/>
      <c r="J311" s="34"/>
      <c r="K311" s="34"/>
      <c r="L311" s="38"/>
      <c r="M311" s="34"/>
      <c r="N311" s="34"/>
    </row>
    <row r="312" spans="1:14" ht="48" customHeight="1">
      <c r="A312" s="6" t="s">
        <v>917</v>
      </c>
      <c r="B312" s="55" t="s">
        <v>918</v>
      </c>
      <c r="C312" s="10"/>
      <c r="D312" s="53" t="s">
        <v>919</v>
      </c>
      <c r="E312" s="53" t="s">
        <v>920</v>
      </c>
      <c r="F312" s="6" t="s">
        <v>921</v>
      </c>
      <c r="G312" s="24" t="s">
        <v>4</v>
      </c>
      <c r="H312" s="10" t="s">
        <v>38</v>
      </c>
      <c r="I312" s="10"/>
      <c r="J312" s="10"/>
      <c r="K312" s="10"/>
      <c r="L312" s="24"/>
      <c r="M312" s="10"/>
      <c r="N312" s="10"/>
    </row>
    <row r="313" spans="1:14" ht="56.25" customHeight="1">
      <c r="A313" s="6" t="s">
        <v>922</v>
      </c>
      <c r="B313" s="55" t="s">
        <v>923</v>
      </c>
      <c r="C313" s="10"/>
      <c r="D313" s="53" t="s">
        <v>924</v>
      </c>
      <c r="E313" s="53" t="s">
        <v>925</v>
      </c>
      <c r="F313" s="6" t="s">
        <v>781</v>
      </c>
      <c r="G313" s="24" t="s">
        <v>4</v>
      </c>
      <c r="H313" s="10" t="s">
        <v>38</v>
      </c>
      <c r="I313" s="10"/>
      <c r="J313" s="10"/>
      <c r="K313" s="10"/>
      <c r="L313" s="24"/>
      <c r="M313" s="10"/>
      <c r="N313" s="10"/>
    </row>
    <row r="314" spans="1:14" ht="56.25" customHeight="1">
      <c r="A314" s="6" t="s">
        <v>926</v>
      </c>
      <c r="B314" s="55" t="s">
        <v>927</v>
      </c>
      <c r="C314" s="10"/>
      <c r="D314" s="53" t="s">
        <v>928</v>
      </c>
      <c r="E314" s="53" t="s">
        <v>925</v>
      </c>
      <c r="F314" s="6" t="s">
        <v>781</v>
      </c>
      <c r="G314" s="24" t="s">
        <v>4</v>
      </c>
      <c r="H314" s="10" t="s">
        <v>38</v>
      </c>
      <c r="I314" s="10"/>
      <c r="J314" s="10"/>
      <c r="K314" s="10"/>
      <c r="L314" s="24"/>
      <c r="M314" s="10"/>
      <c r="N314" s="10"/>
    </row>
    <row r="315" spans="1:14">
      <c r="B315" s="6"/>
      <c r="C315" s="10"/>
      <c r="D315" s="9"/>
      <c r="E315" s="9"/>
      <c r="F315" s="6"/>
      <c r="G315" s="24"/>
      <c r="H315" s="10"/>
      <c r="I315" s="10"/>
      <c r="J315" s="10"/>
      <c r="K315" s="10"/>
      <c r="L315" s="24"/>
      <c r="M315" s="10"/>
      <c r="N315" s="10"/>
    </row>
    <row r="316" spans="1:14">
      <c r="A316" s="67" t="s">
        <v>929</v>
      </c>
      <c r="B316" s="33"/>
      <c r="C316" s="65" t="s">
        <v>45</v>
      </c>
      <c r="D316" s="35"/>
      <c r="E316" s="36"/>
      <c r="F316" s="37"/>
      <c r="G316" s="38"/>
      <c r="H316" s="34"/>
      <c r="I316" s="34"/>
      <c r="J316" s="34"/>
      <c r="K316" s="34"/>
      <c r="L316" s="38"/>
      <c r="M316" s="34"/>
      <c r="N316" s="34"/>
    </row>
    <row r="317" spans="1:14" ht="58.5" customHeight="1">
      <c r="A317" s="6" t="s">
        <v>930</v>
      </c>
      <c r="B317" s="55" t="s">
        <v>931</v>
      </c>
      <c r="C317" s="10"/>
      <c r="D317" s="53" t="s">
        <v>932</v>
      </c>
      <c r="E317" s="53" t="s">
        <v>933</v>
      </c>
      <c r="F317" s="6"/>
      <c r="G317" s="24" t="s">
        <v>4</v>
      </c>
      <c r="H317" s="10" t="s">
        <v>38</v>
      </c>
      <c r="I317" s="10"/>
      <c r="J317" s="10"/>
      <c r="K317" s="10"/>
      <c r="L317" s="24"/>
      <c r="M317" s="10"/>
      <c r="N317" s="10"/>
    </row>
    <row r="318" spans="1:14">
      <c r="B318" s="6"/>
      <c r="C318" s="10"/>
      <c r="D318" s="9"/>
      <c r="E318" s="9"/>
      <c r="F318" s="6"/>
      <c r="G318" s="24"/>
      <c r="H318" s="10"/>
      <c r="I318" s="10"/>
      <c r="J318" s="10"/>
      <c r="K318" s="10"/>
      <c r="L318" s="24"/>
      <c r="M318" s="10"/>
      <c r="N318" s="10"/>
    </row>
    <row r="319" spans="1:14">
      <c r="A319" s="67" t="s">
        <v>934</v>
      </c>
      <c r="B319" s="33"/>
      <c r="C319" s="65" t="s">
        <v>45</v>
      </c>
      <c r="D319" s="35"/>
      <c r="E319" s="36"/>
      <c r="F319" s="37"/>
      <c r="G319" s="38"/>
      <c r="H319" s="34"/>
      <c r="I319" s="34"/>
      <c r="J319" s="34"/>
      <c r="K319" s="34"/>
      <c r="L319" s="38"/>
      <c r="M319" s="34"/>
      <c r="N319" s="34"/>
    </row>
    <row r="320" spans="1:14" ht="48" customHeight="1">
      <c r="A320" s="6" t="s">
        <v>935</v>
      </c>
      <c r="B320" s="55" t="s">
        <v>936</v>
      </c>
      <c r="C320" s="10"/>
      <c r="D320" s="53" t="s">
        <v>937</v>
      </c>
      <c r="E320" s="53" t="s">
        <v>938</v>
      </c>
      <c r="F320" s="6" t="s">
        <v>939</v>
      </c>
      <c r="G320" s="24" t="s">
        <v>4</v>
      </c>
      <c r="H320" s="92"/>
      <c r="I320" s="10" t="s">
        <v>38</v>
      </c>
      <c r="J320" s="92"/>
      <c r="K320" s="10"/>
      <c r="L320" s="24"/>
      <c r="M320" s="10"/>
      <c r="N320" s="10"/>
    </row>
    <row r="321" spans="1:14" ht="42.75" customHeight="1">
      <c r="A321" s="6" t="s">
        <v>940</v>
      </c>
      <c r="B321" s="55" t="s">
        <v>941</v>
      </c>
      <c r="C321" s="10"/>
      <c r="D321" s="53" t="s">
        <v>942</v>
      </c>
      <c r="E321" s="53" t="s">
        <v>943</v>
      </c>
      <c r="F321" s="6" t="s">
        <v>781</v>
      </c>
      <c r="G321" s="24" t="s">
        <v>4</v>
      </c>
      <c r="H321" s="10"/>
      <c r="I321" s="10" t="s">
        <v>38</v>
      </c>
      <c r="J321" s="10"/>
      <c r="K321" s="10"/>
      <c r="L321" s="24"/>
      <c r="M321" s="10"/>
      <c r="N321" s="10"/>
    </row>
    <row r="322" spans="1:14" ht="42.75" customHeight="1">
      <c r="A322" s="6" t="s">
        <v>944</v>
      </c>
      <c r="B322" s="55" t="s">
        <v>945</v>
      </c>
      <c r="C322" s="10"/>
      <c r="D322" s="53" t="s">
        <v>946</v>
      </c>
      <c r="E322" s="53" t="s">
        <v>943</v>
      </c>
      <c r="F322" s="6" t="s">
        <v>781</v>
      </c>
      <c r="G322" s="24" t="s">
        <v>4</v>
      </c>
      <c r="H322" s="10"/>
      <c r="I322" s="10" t="s">
        <v>38</v>
      </c>
      <c r="J322" s="10"/>
      <c r="K322" s="10"/>
      <c r="L322" s="24"/>
      <c r="M322" s="10"/>
      <c r="N322" s="10"/>
    </row>
    <row r="323" spans="1:14" ht="42.75" customHeight="1">
      <c r="A323" s="6" t="s">
        <v>947</v>
      </c>
      <c r="B323" s="55" t="s">
        <v>948</v>
      </c>
      <c r="C323" s="10"/>
      <c r="D323" s="53" t="s">
        <v>949</v>
      </c>
      <c r="E323" s="53" t="s">
        <v>943</v>
      </c>
      <c r="F323" s="6" t="s">
        <v>781</v>
      </c>
      <c r="G323" s="24" t="s">
        <v>4</v>
      </c>
      <c r="H323" s="10"/>
      <c r="I323" s="10" t="s">
        <v>38</v>
      </c>
      <c r="J323" s="10"/>
      <c r="K323" s="10"/>
      <c r="L323" s="24"/>
      <c r="M323" s="10"/>
      <c r="N323" s="10"/>
    </row>
    <row r="324" spans="1:14">
      <c r="B324" s="55"/>
      <c r="C324" s="10"/>
      <c r="D324" s="53"/>
      <c r="E324" s="53"/>
      <c r="F324" s="6"/>
      <c r="G324" s="24"/>
      <c r="H324" s="10"/>
      <c r="I324" s="10"/>
      <c r="J324" s="10"/>
      <c r="K324" s="10"/>
      <c r="L324" s="24"/>
      <c r="M324" s="10"/>
      <c r="N324" s="10"/>
    </row>
    <row r="325" spans="1:14">
      <c r="A325" s="68" t="s">
        <v>950</v>
      </c>
      <c r="B325" s="20"/>
      <c r="C325" s="70" t="s">
        <v>371</v>
      </c>
      <c r="D325" s="19"/>
      <c r="E325" s="19"/>
      <c r="F325" s="20"/>
      <c r="G325" s="29"/>
      <c r="H325" s="17"/>
      <c r="I325" s="17"/>
      <c r="J325" s="17"/>
      <c r="K325" s="17"/>
      <c r="L325" s="29"/>
      <c r="M325" s="17"/>
      <c r="N325" s="17"/>
    </row>
    <row r="326" spans="1:14" ht="56.25" customHeight="1">
      <c r="A326" s="6" t="s">
        <v>951</v>
      </c>
      <c r="B326" s="55" t="s">
        <v>952</v>
      </c>
      <c r="C326" s="10"/>
      <c r="D326" s="53" t="s">
        <v>953</v>
      </c>
      <c r="E326" s="53" t="s">
        <v>954</v>
      </c>
      <c r="F326" s="6" t="s">
        <v>697</v>
      </c>
      <c r="G326" s="24" t="s">
        <v>4</v>
      </c>
      <c r="H326" s="10" t="s">
        <v>38</v>
      </c>
      <c r="I326" s="10"/>
      <c r="J326" s="10"/>
      <c r="K326" s="10"/>
      <c r="L326" s="24"/>
      <c r="M326" s="10"/>
      <c r="N326" s="10"/>
    </row>
    <row r="327" spans="1:14" ht="56.25" customHeight="1">
      <c r="A327" s="6" t="s">
        <v>955</v>
      </c>
      <c r="B327" s="55" t="s">
        <v>956</v>
      </c>
      <c r="C327" s="10"/>
      <c r="D327" s="53" t="s">
        <v>957</v>
      </c>
      <c r="E327" s="53" t="s">
        <v>958</v>
      </c>
      <c r="F327" s="6"/>
      <c r="G327" s="24" t="s">
        <v>4</v>
      </c>
      <c r="H327" s="10" t="s">
        <v>38</v>
      </c>
      <c r="I327" s="10"/>
      <c r="J327" s="10"/>
      <c r="K327" s="10"/>
      <c r="L327" s="24"/>
      <c r="M327" s="10"/>
      <c r="N327" s="10"/>
    </row>
    <row r="328" spans="1:14" ht="56.25" customHeight="1">
      <c r="A328" s="6" t="s">
        <v>959</v>
      </c>
      <c r="B328" s="55" t="s">
        <v>960</v>
      </c>
      <c r="C328" s="10"/>
      <c r="D328" s="53" t="s">
        <v>961</v>
      </c>
      <c r="E328" s="53" t="s">
        <v>962</v>
      </c>
      <c r="F328" s="6"/>
      <c r="G328" s="24" t="s">
        <v>4</v>
      </c>
      <c r="H328" s="10" t="s">
        <v>38</v>
      </c>
      <c r="I328" s="10"/>
      <c r="J328" s="10"/>
      <c r="K328" s="10"/>
      <c r="L328" s="24"/>
      <c r="M328" s="10"/>
      <c r="N328" s="10"/>
    </row>
    <row r="329" spans="1:14" ht="37.5" customHeight="1">
      <c r="A329" s="6" t="s">
        <v>963</v>
      </c>
      <c r="B329" s="55" t="s">
        <v>964</v>
      </c>
      <c r="C329" s="10"/>
      <c r="D329" s="53" t="s">
        <v>965</v>
      </c>
      <c r="E329" s="53" t="s">
        <v>966</v>
      </c>
      <c r="F329" s="43" t="s">
        <v>967</v>
      </c>
      <c r="G329" s="24" t="s">
        <v>4</v>
      </c>
      <c r="H329" s="10" t="s">
        <v>38</v>
      </c>
      <c r="I329" s="13"/>
      <c r="J329" s="10"/>
      <c r="K329" s="10"/>
      <c r="L329" s="24"/>
      <c r="M329" s="10"/>
      <c r="N329" s="10"/>
    </row>
    <row r="330" spans="1:14" ht="37.5" customHeight="1">
      <c r="A330" s="6" t="s">
        <v>968</v>
      </c>
      <c r="B330" s="55" t="s">
        <v>969</v>
      </c>
      <c r="C330" s="10"/>
      <c r="D330" s="53" t="s">
        <v>970</v>
      </c>
      <c r="E330" s="53" t="s">
        <v>971</v>
      </c>
      <c r="F330" s="6"/>
      <c r="G330" s="24" t="s">
        <v>4</v>
      </c>
      <c r="H330" s="10" t="s">
        <v>38</v>
      </c>
      <c r="I330" s="10"/>
      <c r="J330" s="10"/>
      <c r="K330" s="10"/>
      <c r="L330" s="24"/>
      <c r="M330" s="10"/>
      <c r="N330" s="10"/>
    </row>
    <row r="331" spans="1:14">
      <c r="B331" s="6"/>
      <c r="C331" s="10"/>
      <c r="D331" s="9"/>
      <c r="E331" s="9"/>
      <c r="F331" s="6"/>
      <c r="G331" s="24"/>
      <c r="H331" s="10"/>
      <c r="I331" s="10"/>
      <c r="J331" s="10"/>
      <c r="K331" s="10"/>
      <c r="L331" s="24"/>
      <c r="M331" s="10"/>
      <c r="N331" s="10"/>
    </row>
    <row r="332" spans="1:14">
      <c r="A332" s="63" t="s">
        <v>972</v>
      </c>
      <c r="B332" s="22"/>
      <c r="C332" s="62" t="s">
        <v>371</v>
      </c>
      <c r="D332" s="80"/>
      <c r="E332" s="80"/>
      <c r="F332" s="22"/>
      <c r="G332" s="28"/>
      <c r="H332" s="23"/>
      <c r="I332" s="23"/>
      <c r="J332" s="23"/>
      <c r="K332" s="23"/>
      <c r="L332" s="28"/>
      <c r="M332" s="23"/>
      <c r="N332" s="23"/>
    </row>
    <row r="333" spans="1:14" ht="37.5" customHeight="1">
      <c r="A333" s="6" t="s">
        <v>973</v>
      </c>
      <c r="B333" s="55" t="s">
        <v>974</v>
      </c>
      <c r="C333" s="10"/>
      <c r="D333" s="53" t="s">
        <v>975</v>
      </c>
      <c r="E333" s="53" t="s">
        <v>566</v>
      </c>
      <c r="F333" s="6" t="s">
        <v>697</v>
      </c>
      <c r="G333" s="24" t="s">
        <v>4</v>
      </c>
      <c r="H333" s="10" t="s">
        <v>38</v>
      </c>
      <c r="I333" s="10"/>
      <c r="J333" s="10"/>
      <c r="K333" s="10"/>
      <c r="L333" s="24"/>
      <c r="M333" s="10"/>
      <c r="N333" s="10"/>
    </row>
    <row r="334" spans="1:14">
      <c r="B334" s="55"/>
      <c r="C334" s="10"/>
      <c r="D334" s="9"/>
      <c r="E334" s="9"/>
      <c r="F334" s="6"/>
      <c r="G334" s="24"/>
      <c r="H334" s="10"/>
      <c r="I334" s="10"/>
      <c r="J334" s="10"/>
      <c r="K334" s="10"/>
      <c r="L334" s="24"/>
      <c r="M334" s="10"/>
      <c r="N334" s="10"/>
    </row>
    <row r="335" spans="1:14">
      <c r="A335" s="56" t="s">
        <v>976</v>
      </c>
      <c r="B335" s="33"/>
      <c r="C335" s="65" t="s">
        <v>371</v>
      </c>
      <c r="D335" s="35"/>
      <c r="E335" s="36"/>
      <c r="F335" s="37"/>
      <c r="G335" s="38"/>
      <c r="H335" s="34"/>
      <c r="I335" s="34"/>
      <c r="J335" s="34"/>
      <c r="K335" s="34"/>
      <c r="L335" s="38"/>
      <c r="M335" s="34"/>
      <c r="N335" s="34"/>
    </row>
    <row r="336" spans="1:14" ht="56.25" customHeight="1">
      <c r="A336" s="6" t="s">
        <v>977</v>
      </c>
      <c r="B336" s="55" t="s">
        <v>978</v>
      </c>
      <c r="C336" s="10"/>
      <c r="D336" s="53" t="s">
        <v>979</v>
      </c>
      <c r="E336" s="53" t="s">
        <v>566</v>
      </c>
      <c r="F336" s="6" t="s">
        <v>980</v>
      </c>
      <c r="G336" s="24" t="s">
        <v>4</v>
      </c>
      <c r="H336" s="10" t="s">
        <v>38</v>
      </c>
      <c r="I336" s="10"/>
      <c r="J336" s="10"/>
      <c r="K336" s="10"/>
      <c r="L336" s="24"/>
      <c r="M336" s="10"/>
      <c r="N336" s="10"/>
    </row>
    <row r="337" spans="1:14">
      <c r="A337" s="6" t="s">
        <v>981</v>
      </c>
      <c r="B337" s="69" t="s">
        <v>565</v>
      </c>
      <c r="C337" s="13"/>
      <c r="D337" s="42"/>
      <c r="E337" s="53" t="s">
        <v>566</v>
      </c>
      <c r="F337" s="43" t="s">
        <v>982</v>
      </c>
      <c r="G337" s="24" t="s">
        <v>4</v>
      </c>
      <c r="H337" s="10" t="s">
        <v>38</v>
      </c>
      <c r="I337" s="13"/>
      <c r="J337" s="13"/>
      <c r="K337" s="13"/>
      <c r="L337" s="13"/>
      <c r="M337" s="43"/>
      <c r="N337" s="43"/>
    </row>
    <row r="338" spans="1:14">
      <c r="A338" s="6" t="s">
        <v>983</v>
      </c>
      <c r="B338" s="55" t="s">
        <v>573</v>
      </c>
      <c r="C338" s="10"/>
      <c r="D338" s="9"/>
      <c r="E338" s="53" t="s">
        <v>566</v>
      </c>
      <c r="F338" s="6" t="s">
        <v>984</v>
      </c>
      <c r="G338" s="24" t="s">
        <v>4</v>
      </c>
      <c r="H338" s="10" t="s">
        <v>38</v>
      </c>
      <c r="I338" s="10"/>
      <c r="J338" s="10"/>
      <c r="K338" s="10"/>
      <c r="L338" s="24"/>
      <c r="M338" s="10"/>
      <c r="N338" s="10"/>
    </row>
    <row r="339" spans="1:14">
      <c r="A339" s="6" t="s">
        <v>985</v>
      </c>
      <c r="B339" s="55" t="s">
        <v>636</v>
      </c>
      <c r="C339" s="10"/>
      <c r="D339" s="9"/>
      <c r="E339" s="53" t="s">
        <v>578</v>
      </c>
      <c r="F339" s="6" t="s">
        <v>986</v>
      </c>
      <c r="G339" s="24" t="s">
        <v>4</v>
      </c>
      <c r="H339" s="10" t="s">
        <v>38</v>
      </c>
      <c r="I339" s="10"/>
      <c r="J339" s="10"/>
      <c r="K339" s="10"/>
      <c r="L339" s="24"/>
      <c r="M339" s="10"/>
      <c r="N339" s="10"/>
    </row>
    <row r="340" spans="1:14">
      <c r="A340" s="6" t="s">
        <v>987</v>
      </c>
      <c r="B340" s="55" t="s">
        <v>584</v>
      </c>
      <c r="C340" s="10"/>
      <c r="D340" s="9"/>
      <c r="E340" s="53" t="s">
        <v>578</v>
      </c>
      <c r="F340" s="6" t="s">
        <v>986</v>
      </c>
      <c r="G340" s="24" t="s">
        <v>4</v>
      </c>
      <c r="H340" s="10" t="s">
        <v>38</v>
      </c>
      <c r="I340" s="10"/>
      <c r="J340" s="10"/>
      <c r="K340" s="10"/>
      <c r="L340" s="24"/>
      <c r="M340" s="10"/>
      <c r="N340" s="10"/>
    </row>
    <row r="341" spans="1:14">
      <c r="A341" s="6" t="s">
        <v>988</v>
      </c>
      <c r="B341" s="55" t="s">
        <v>587</v>
      </c>
      <c r="C341" s="10"/>
      <c r="D341" s="9"/>
      <c r="E341" s="53" t="s">
        <v>566</v>
      </c>
      <c r="F341" s="6" t="s">
        <v>989</v>
      </c>
      <c r="G341" s="24" t="s">
        <v>4</v>
      </c>
      <c r="H341" s="10" t="s">
        <v>38</v>
      </c>
      <c r="I341" s="10"/>
      <c r="J341" s="10"/>
      <c r="K341" s="10"/>
      <c r="L341" s="24"/>
      <c r="M341" s="10"/>
      <c r="N341" s="10"/>
    </row>
    <row r="342" spans="1:14">
      <c r="A342" s="6" t="s">
        <v>990</v>
      </c>
      <c r="B342" s="55" t="s">
        <v>591</v>
      </c>
      <c r="C342" s="10"/>
      <c r="D342" s="9"/>
      <c r="E342" s="53" t="s">
        <v>566</v>
      </c>
      <c r="F342" s="6" t="s">
        <v>991</v>
      </c>
      <c r="G342" s="24" t="s">
        <v>4</v>
      </c>
      <c r="H342" s="10" t="s">
        <v>38</v>
      </c>
      <c r="I342" s="10"/>
      <c r="J342" s="10"/>
      <c r="K342" s="10"/>
      <c r="L342" s="24"/>
      <c r="M342" s="10"/>
      <c r="N342" s="10"/>
    </row>
    <row r="343" spans="1:14">
      <c r="A343" s="6" t="s">
        <v>992</v>
      </c>
      <c r="B343" s="55" t="s">
        <v>596</v>
      </c>
      <c r="C343" s="10"/>
      <c r="D343" s="9"/>
      <c r="E343" s="53" t="s">
        <v>566</v>
      </c>
      <c r="F343" s="6" t="s">
        <v>986</v>
      </c>
      <c r="G343" s="24" t="s">
        <v>4</v>
      </c>
      <c r="H343" s="10" t="s">
        <v>38</v>
      </c>
      <c r="I343" s="10"/>
      <c r="J343" s="10"/>
      <c r="K343" s="10"/>
      <c r="L343" s="24"/>
      <c r="M343" s="10"/>
      <c r="N343" s="10"/>
    </row>
    <row r="344" spans="1:14">
      <c r="A344" s="6" t="s">
        <v>993</v>
      </c>
      <c r="B344" s="55" t="s">
        <v>599</v>
      </c>
      <c r="C344" s="10"/>
      <c r="D344" s="9"/>
      <c r="E344" s="53" t="s">
        <v>566</v>
      </c>
      <c r="F344" s="6" t="s">
        <v>994</v>
      </c>
      <c r="G344" s="24" t="s">
        <v>4</v>
      </c>
      <c r="H344" s="10" t="s">
        <v>38</v>
      </c>
      <c r="I344" s="10"/>
      <c r="J344" s="10"/>
      <c r="K344" s="10"/>
      <c r="L344" s="24"/>
      <c r="M344" s="10"/>
      <c r="N344" s="10"/>
    </row>
    <row r="345" spans="1:14">
      <c r="A345" s="6" t="s">
        <v>995</v>
      </c>
      <c r="B345" s="55" t="s">
        <v>229</v>
      </c>
      <c r="C345" s="10"/>
      <c r="D345" s="9"/>
      <c r="E345" s="53" t="s">
        <v>566</v>
      </c>
      <c r="F345" s="6" t="s">
        <v>479</v>
      </c>
      <c r="G345" s="24" t="s">
        <v>4</v>
      </c>
      <c r="H345" s="10" t="s">
        <v>38</v>
      </c>
      <c r="I345" s="10"/>
      <c r="J345" s="10"/>
      <c r="K345" s="10"/>
      <c r="L345" s="24"/>
      <c r="M345" s="10"/>
      <c r="N345" s="10"/>
    </row>
    <row r="346" spans="1:14">
      <c r="A346" s="6" t="s">
        <v>996</v>
      </c>
      <c r="B346" s="55" t="s">
        <v>370</v>
      </c>
      <c r="C346" s="10"/>
      <c r="D346" s="9"/>
      <c r="E346" s="53" t="s">
        <v>566</v>
      </c>
      <c r="F346" s="6" t="s">
        <v>997</v>
      </c>
      <c r="G346" s="24" t="s">
        <v>4</v>
      </c>
      <c r="H346" s="10" t="s">
        <v>38</v>
      </c>
      <c r="I346" s="10"/>
      <c r="J346" s="10"/>
      <c r="K346" s="10"/>
      <c r="L346" s="24"/>
      <c r="M346" s="10"/>
      <c r="N346" s="10"/>
    </row>
    <row r="347" spans="1:14">
      <c r="A347" s="6" t="s">
        <v>998</v>
      </c>
      <c r="B347" s="55" t="s">
        <v>606</v>
      </c>
      <c r="C347" s="10"/>
      <c r="D347" s="9"/>
      <c r="E347" s="53" t="s">
        <v>566</v>
      </c>
      <c r="F347" s="6" t="s">
        <v>999</v>
      </c>
      <c r="G347" s="24" t="s">
        <v>4</v>
      </c>
      <c r="H347" s="10" t="s">
        <v>38</v>
      </c>
      <c r="I347" s="10"/>
      <c r="J347" s="10"/>
      <c r="K347" s="10"/>
      <c r="L347" s="24"/>
      <c r="M347" s="10"/>
      <c r="N347" s="10"/>
    </row>
    <row r="348" spans="1:14">
      <c r="A348" s="6" t="s">
        <v>1000</v>
      </c>
      <c r="B348" s="55" t="s">
        <v>609</v>
      </c>
      <c r="C348" s="10"/>
      <c r="D348" s="9"/>
      <c r="E348" s="53" t="s">
        <v>566</v>
      </c>
      <c r="F348" s="6" t="s">
        <v>1001</v>
      </c>
      <c r="G348" s="24" t="s">
        <v>4</v>
      </c>
      <c r="H348" s="10" t="s">
        <v>38</v>
      </c>
      <c r="I348" s="10"/>
      <c r="J348" s="10"/>
      <c r="K348" s="10"/>
      <c r="L348" s="24"/>
      <c r="M348" s="10"/>
      <c r="N348" s="10"/>
    </row>
    <row r="349" spans="1:14">
      <c r="A349" s="6" t="s">
        <v>1002</v>
      </c>
      <c r="B349" s="55" t="s">
        <v>612</v>
      </c>
      <c r="C349" s="10"/>
      <c r="D349" s="9"/>
      <c r="E349" s="53" t="s">
        <v>566</v>
      </c>
      <c r="F349" s="6" t="s">
        <v>1003</v>
      </c>
      <c r="G349" s="24" t="s">
        <v>4</v>
      </c>
      <c r="H349" s="10" t="s">
        <v>38</v>
      </c>
      <c r="I349" s="10"/>
      <c r="J349" s="10"/>
      <c r="K349" s="10"/>
      <c r="L349" s="24"/>
      <c r="M349" s="10"/>
      <c r="N349" s="10"/>
    </row>
    <row r="350" spans="1:14">
      <c r="A350" s="6" t="s">
        <v>1004</v>
      </c>
      <c r="B350" s="55" t="s">
        <v>615</v>
      </c>
      <c r="C350" s="10"/>
      <c r="D350" s="9"/>
      <c r="E350" s="53" t="s">
        <v>566</v>
      </c>
      <c r="F350" s="6" t="s">
        <v>1005</v>
      </c>
      <c r="G350" s="24" t="s">
        <v>4</v>
      </c>
      <c r="H350" s="10" t="s">
        <v>38</v>
      </c>
      <c r="I350" s="10"/>
      <c r="J350" s="10"/>
      <c r="K350" s="10"/>
      <c r="L350" s="24"/>
      <c r="M350" s="10"/>
      <c r="N350" s="10"/>
    </row>
    <row r="351" spans="1:14">
      <c r="A351" s="6" t="s">
        <v>1006</v>
      </c>
      <c r="B351" s="55" t="s">
        <v>618</v>
      </c>
      <c r="C351" s="10"/>
      <c r="D351" s="9"/>
      <c r="E351" s="53" t="s">
        <v>578</v>
      </c>
      <c r="F351" s="6" t="s">
        <v>986</v>
      </c>
      <c r="G351" s="24" t="s">
        <v>4</v>
      </c>
      <c r="H351" s="10" t="s">
        <v>38</v>
      </c>
      <c r="I351" s="10"/>
      <c r="J351" s="10"/>
      <c r="K351" s="10"/>
      <c r="L351" s="24"/>
      <c r="M351" s="10"/>
      <c r="N351" s="10"/>
    </row>
    <row r="352" spans="1:14">
      <c r="A352" s="6" t="s">
        <v>1007</v>
      </c>
      <c r="B352" s="55" t="s">
        <v>630</v>
      </c>
      <c r="C352" s="10"/>
      <c r="D352" s="9"/>
      <c r="E352" s="53" t="s">
        <v>578</v>
      </c>
      <c r="F352" s="6" t="s">
        <v>986</v>
      </c>
      <c r="G352" s="24" t="s">
        <v>4</v>
      </c>
      <c r="H352" s="10" t="s">
        <v>38</v>
      </c>
      <c r="I352" s="10"/>
      <c r="J352" s="10"/>
      <c r="K352" s="10"/>
      <c r="L352" s="24"/>
      <c r="M352" s="10"/>
      <c r="N352" s="10"/>
    </row>
    <row r="353" spans="1:15">
      <c r="A353" s="6" t="s">
        <v>1008</v>
      </c>
      <c r="B353" s="55" t="s">
        <v>633</v>
      </c>
      <c r="C353" s="10"/>
      <c r="D353" s="9"/>
      <c r="E353" s="53" t="s">
        <v>578</v>
      </c>
      <c r="F353" s="6" t="s">
        <v>986</v>
      </c>
      <c r="G353" s="24" t="s">
        <v>4</v>
      </c>
      <c r="H353" s="10" t="s">
        <v>38</v>
      </c>
      <c r="I353" s="10"/>
      <c r="J353" s="10"/>
      <c r="K353" s="10"/>
      <c r="L353" s="24"/>
      <c r="M353" s="10"/>
      <c r="N353" s="10"/>
    </row>
    <row r="354" spans="1:15">
      <c r="A354" s="6" t="s">
        <v>1009</v>
      </c>
      <c r="B354" s="55" t="s">
        <v>1010</v>
      </c>
      <c r="C354" s="10"/>
      <c r="D354" s="9"/>
      <c r="E354" s="53" t="s">
        <v>578</v>
      </c>
      <c r="F354" s="6" t="s">
        <v>986</v>
      </c>
      <c r="G354" s="24" t="s">
        <v>4</v>
      </c>
      <c r="H354" s="10" t="s">
        <v>38</v>
      </c>
      <c r="I354" s="10"/>
      <c r="J354" s="10"/>
      <c r="K354" s="10"/>
      <c r="L354" s="24"/>
      <c r="M354" s="10"/>
      <c r="N354" s="10"/>
    </row>
    <row r="355" spans="1:15">
      <c r="B355" s="41"/>
      <c r="C355" s="13"/>
      <c r="D355" s="42"/>
      <c r="E355" s="42"/>
      <c r="F355" s="43"/>
      <c r="G355" s="43"/>
      <c r="H355" s="13"/>
      <c r="I355" s="13"/>
      <c r="J355" s="13"/>
      <c r="K355" s="13"/>
      <c r="L355" s="13"/>
      <c r="M355" s="43"/>
      <c r="N355" s="43"/>
    </row>
    <row r="356" spans="1:15">
      <c r="A356" s="56" t="s">
        <v>1011</v>
      </c>
      <c r="B356" s="33"/>
      <c r="C356" s="65" t="s">
        <v>371</v>
      </c>
      <c r="D356" s="35"/>
      <c r="E356" s="36"/>
      <c r="F356" s="37"/>
      <c r="G356" s="38"/>
      <c r="H356" s="34"/>
      <c r="I356" s="34"/>
      <c r="J356" s="34"/>
      <c r="K356" s="34"/>
      <c r="L356" s="38"/>
      <c r="M356" s="34"/>
      <c r="N356" s="34"/>
    </row>
    <row r="357" spans="1:15" ht="56.25" customHeight="1">
      <c r="A357" s="6" t="s">
        <v>1012</v>
      </c>
      <c r="B357" s="55" t="s">
        <v>1013</v>
      </c>
      <c r="C357" s="10"/>
      <c r="D357" s="53" t="s">
        <v>1014</v>
      </c>
      <c r="E357" s="53" t="s">
        <v>566</v>
      </c>
      <c r="F357" s="6" t="s">
        <v>1015</v>
      </c>
      <c r="G357" s="24" t="s">
        <v>4</v>
      </c>
      <c r="H357" s="10" t="s">
        <v>38</v>
      </c>
      <c r="I357" s="10"/>
      <c r="J357" s="10"/>
      <c r="K357" s="10"/>
      <c r="L357" s="24"/>
      <c r="M357" s="10"/>
      <c r="N357" s="10"/>
    </row>
    <row r="358" spans="1:15">
      <c r="A358" s="6" t="s">
        <v>1016</v>
      </c>
      <c r="B358" s="55" t="s">
        <v>636</v>
      </c>
      <c r="C358" s="10"/>
      <c r="D358" s="9"/>
      <c r="E358" s="53" t="s">
        <v>566</v>
      </c>
      <c r="F358" s="6" t="s">
        <v>1017</v>
      </c>
      <c r="G358" s="24" t="s">
        <v>4</v>
      </c>
      <c r="H358" s="10" t="s">
        <v>38</v>
      </c>
      <c r="I358" s="10"/>
      <c r="J358" s="10"/>
      <c r="K358" s="10"/>
      <c r="L358" s="24"/>
      <c r="M358" s="10"/>
      <c r="N358" s="10"/>
    </row>
    <row r="359" spans="1:15">
      <c r="A359" s="6" t="s">
        <v>1018</v>
      </c>
      <c r="B359" s="55" t="s">
        <v>639</v>
      </c>
      <c r="C359" s="10"/>
      <c r="D359" s="9"/>
      <c r="E359" s="53" t="s">
        <v>566</v>
      </c>
      <c r="F359" s="6" t="s">
        <v>1019</v>
      </c>
      <c r="G359" s="24" t="s">
        <v>4</v>
      </c>
      <c r="H359" s="10" t="s">
        <v>38</v>
      </c>
      <c r="I359" s="10"/>
      <c r="J359" s="10"/>
      <c r="K359" s="10"/>
      <c r="L359" s="24"/>
      <c r="M359" s="10"/>
      <c r="N359" s="10"/>
    </row>
    <row r="360" spans="1:15">
      <c r="A360" s="6" t="s">
        <v>1020</v>
      </c>
      <c r="B360" s="55" t="s">
        <v>495</v>
      </c>
      <c r="C360" s="10"/>
      <c r="D360" s="9"/>
      <c r="E360" s="53" t="s">
        <v>566</v>
      </c>
      <c r="F360" s="6" t="s">
        <v>1021</v>
      </c>
      <c r="G360" s="24" t="s">
        <v>4</v>
      </c>
      <c r="H360" s="10" t="s">
        <v>38</v>
      </c>
      <c r="I360" s="10"/>
      <c r="J360" s="10"/>
      <c r="K360" s="10"/>
      <c r="L360" s="24"/>
      <c r="M360" s="10"/>
      <c r="N360" s="10"/>
    </row>
    <row r="361" spans="1:15">
      <c r="A361" s="6" t="s">
        <v>1022</v>
      </c>
      <c r="B361" s="55" t="s">
        <v>644</v>
      </c>
      <c r="C361" s="10"/>
      <c r="D361" s="9"/>
      <c r="E361" s="53" t="s">
        <v>566</v>
      </c>
      <c r="F361" s="6" t="s">
        <v>1023</v>
      </c>
      <c r="G361" s="24" t="s">
        <v>4</v>
      </c>
      <c r="H361" s="10" t="s">
        <v>38</v>
      </c>
      <c r="I361" s="10"/>
      <c r="J361" s="10"/>
      <c r="K361" s="10"/>
      <c r="L361" s="24"/>
      <c r="M361" s="10"/>
      <c r="N361" s="10"/>
    </row>
    <row r="362" spans="1:15">
      <c r="A362" s="6" t="s">
        <v>1024</v>
      </c>
      <c r="B362" s="55" t="s">
        <v>647</v>
      </c>
      <c r="C362" s="10"/>
      <c r="D362" s="9"/>
      <c r="E362" s="53" t="s">
        <v>566</v>
      </c>
      <c r="F362" s="6" t="s">
        <v>1025</v>
      </c>
      <c r="G362" s="24" t="s">
        <v>4</v>
      </c>
      <c r="H362" s="10" t="s">
        <v>38</v>
      </c>
      <c r="I362" s="10"/>
      <c r="J362" s="10"/>
      <c r="K362" s="10"/>
      <c r="L362" s="24"/>
      <c r="M362" s="10"/>
      <c r="N362" s="10"/>
    </row>
    <row r="363" spans="1:15">
      <c r="A363" s="6" t="s">
        <v>1026</v>
      </c>
      <c r="B363" s="55" t="s">
        <v>650</v>
      </c>
      <c r="C363" s="10"/>
      <c r="D363" s="9"/>
      <c r="E363" s="53" t="s">
        <v>566</v>
      </c>
      <c r="F363" s="6" t="s">
        <v>1027</v>
      </c>
      <c r="G363" s="24" t="s">
        <v>4</v>
      </c>
      <c r="H363" s="10" t="s">
        <v>38</v>
      </c>
      <c r="I363" s="10"/>
      <c r="J363" s="10"/>
      <c r="K363" s="10"/>
      <c r="L363" s="24"/>
      <c r="M363" s="10"/>
      <c r="N363" s="10"/>
    </row>
    <row r="364" spans="1:15">
      <c r="B364" s="41"/>
      <c r="C364" s="13"/>
      <c r="D364" s="42"/>
      <c r="E364" s="42"/>
      <c r="F364" s="43"/>
      <c r="G364" s="43"/>
      <c r="H364" s="13"/>
      <c r="I364" s="13"/>
      <c r="J364" s="13"/>
      <c r="K364" s="13"/>
      <c r="L364" s="13"/>
      <c r="M364" s="43"/>
      <c r="N364" s="43"/>
    </row>
    <row r="365" spans="1:15">
      <c r="A365" s="72" t="s">
        <v>1028</v>
      </c>
      <c r="B365" s="45"/>
      <c r="C365" s="71"/>
      <c r="D365" s="46"/>
      <c r="E365" s="46"/>
      <c r="F365" s="45"/>
      <c r="G365" s="29"/>
      <c r="H365" s="29"/>
      <c r="I365" s="29"/>
      <c r="J365" s="29"/>
      <c r="K365" s="29"/>
      <c r="L365" s="29"/>
      <c r="M365" s="29"/>
      <c r="N365" s="29"/>
      <c r="O365" s="95"/>
    </row>
    <row r="366" spans="1:15" ht="63" customHeight="1">
      <c r="A366" s="6" t="s">
        <v>1029</v>
      </c>
      <c r="B366" s="73" t="s">
        <v>1030</v>
      </c>
      <c r="C366" s="75" t="s">
        <v>371</v>
      </c>
      <c r="D366" s="74" t="s">
        <v>1031</v>
      </c>
      <c r="E366" s="74" t="s">
        <v>1032</v>
      </c>
      <c r="F366" s="31" t="s">
        <v>1033</v>
      </c>
      <c r="G366" s="24" t="s">
        <v>4</v>
      </c>
      <c r="H366" s="24" t="s">
        <v>38</v>
      </c>
      <c r="I366" s="24"/>
      <c r="J366" s="24"/>
      <c r="K366" s="24"/>
      <c r="L366" s="24" t="s">
        <v>38</v>
      </c>
      <c r="M366" s="24"/>
      <c r="N366" s="24"/>
      <c r="O366" s="95"/>
    </row>
    <row r="367" spans="1:15">
      <c r="B367" s="73"/>
      <c r="C367" s="24"/>
      <c r="D367" s="74"/>
      <c r="E367" s="74"/>
      <c r="F367" s="31"/>
      <c r="G367" s="24"/>
      <c r="H367" s="24"/>
      <c r="I367" s="24"/>
      <c r="J367" s="24"/>
      <c r="K367" s="24"/>
      <c r="L367" s="24"/>
      <c r="M367" s="24"/>
      <c r="N367" s="24"/>
      <c r="O367" s="95"/>
    </row>
    <row r="368" spans="1:15">
      <c r="A368" s="77" t="s">
        <v>1034</v>
      </c>
      <c r="B368" s="81"/>
      <c r="C368" s="76" t="s">
        <v>371</v>
      </c>
      <c r="D368" s="82"/>
      <c r="E368" s="82"/>
      <c r="F368" s="81"/>
      <c r="G368" s="48"/>
      <c r="H368" s="48"/>
      <c r="I368" s="48"/>
      <c r="J368" s="48"/>
      <c r="K368" s="48"/>
      <c r="L368" s="48"/>
      <c r="M368" s="48"/>
      <c r="N368" s="48"/>
      <c r="O368" s="95"/>
    </row>
    <row r="369" spans="1:15" ht="77.25" customHeight="1">
      <c r="A369" s="6" t="s">
        <v>1035</v>
      </c>
      <c r="B369" s="73" t="s">
        <v>1036</v>
      </c>
      <c r="C369" s="24"/>
      <c r="D369" s="74" t="s">
        <v>1037</v>
      </c>
      <c r="E369" s="32" t="s">
        <v>1038</v>
      </c>
      <c r="F369" s="31" t="s">
        <v>1039</v>
      </c>
      <c r="G369" s="24" t="s">
        <v>4</v>
      </c>
      <c r="H369" s="24" t="s">
        <v>38</v>
      </c>
      <c r="I369" s="24"/>
      <c r="J369" s="24"/>
      <c r="K369" s="24"/>
      <c r="L369" s="24" t="s">
        <v>38</v>
      </c>
      <c r="M369" s="24"/>
      <c r="N369" s="24"/>
      <c r="O369" s="95"/>
    </row>
    <row r="370" spans="1:15">
      <c r="B370" s="73"/>
      <c r="C370" s="24"/>
      <c r="D370" s="74"/>
      <c r="E370" s="32"/>
      <c r="F370" s="31"/>
      <c r="G370" s="24"/>
      <c r="H370" s="24"/>
      <c r="I370" s="24"/>
      <c r="J370" s="24"/>
      <c r="K370" s="24"/>
      <c r="L370" s="24"/>
      <c r="M370" s="24"/>
      <c r="N370" s="24"/>
      <c r="O370" s="95"/>
    </row>
    <row r="371" spans="1:15">
      <c r="A371" s="77" t="s">
        <v>1040</v>
      </c>
      <c r="B371" s="81"/>
      <c r="C371" s="76" t="s">
        <v>371</v>
      </c>
      <c r="D371" s="82"/>
      <c r="E371" s="82"/>
      <c r="F371" s="81"/>
      <c r="G371" s="48"/>
      <c r="H371" s="48"/>
      <c r="I371" s="48"/>
      <c r="J371" s="48"/>
      <c r="K371" s="48"/>
      <c r="L371" s="48"/>
      <c r="M371" s="48"/>
      <c r="N371" s="48"/>
      <c r="O371" s="95"/>
    </row>
    <row r="372" spans="1:15" ht="40.5" customHeight="1">
      <c r="A372" s="6" t="s">
        <v>1041</v>
      </c>
      <c r="B372" s="73" t="s">
        <v>1042</v>
      </c>
      <c r="C372" s="24"/>
      <c r="D372" s="74" t="s">
        <v>1043</v>
      </c>
      <c r="E372" s="74" t="s">
        <v>1044</v>
      </c>
      <c r="F372" s="31" t="s">
        <v>1045</v>
      </c>
      <c r="G372" s="24" t="s">
        <v>4</v>
      </c>
      <c r="H372" s="24"/>
      <c r="I372" s="75" t="s">
        <v>38</v>
      </c>
      <c r="J372" s="75"/>
      <c r="K372" s="24"/>
      <c r="L372" s="24"/>
      <c r="M372" s="24"/>
      <c r="N372" s="24"/>
      <c r="O372" s="95"/>
    </row>
    <row r="373" spans="1:15" ht="40.5" customHeight="1">
      <c r="A373" s="6" t="s">
        <v>1046</v>
      </c>
      <c r="B373" s="73" t="s">
        <v>1045</v>
      </c>
      <c r="C373" s="24"/>
      <c r="D373" s="74" t="s">
        <v>1047</v>
      </c>
      <c r="E373" s="74" t="s">
        <v>1048</v>
      </c>
      <c r="F373" s="31" t="s">
        <v>1045</v>
      </c>
      <c r="G373" s="24" t="s">
        <v>4</v>
      </c>
      <c r="H373" s="24"/>
      <c r="I373" s="75" t="s">
        <v>38</v>
      </c>
      <c r="J373" s="24"/>
      <c r="K373" s="24"/>
      <c r="L373" s="24"/>
      <c r="M373" s="24"/>
      <c r="N373" s="24"/>
      <c r="O373" s="95"/>
    </row>
    <row r="374" spans="1:15" ht="40.5" customHeight="1">
      <c r="A374" s="6" t="s">
        <v>1049</v>
      </c>
      <c r="B374" s="69" t="s">
        <v>1050</v>
      </c>
      <c r="C374" s="13"/>
      <c r="D374" s="74" t="s">
        <v>1051</v>
      </c>
      <c r="E374" s="74" t="s">
        <v>1048</v>
      </c>
      <c r="F374" s="43" t="s">
        <v>1050</v>
      </c>
      <c r="G374" s="24" t="s">
        <v>4</v>
      </c>
      <c r="H374" s="13"/>
      <c r="I374" s="75" t="s">
        <v>38</v>
      </c>
      <c r="J374" s="13"/>
      <c r="K374" s="13"/>
      <c r="L374" s="13"/>
      <c r="M374" s="43"/>
      <c r="N374" s="43"/>
    </row>
    <row r="375" spans="1:15" ht="40.5" customHeight="1">
      <c r="A375" s="6" t="s">
        <v>1052</v>
      </c>
      <c r="B375" s="69" t="s">
        <v>1053</v>
      </c>
      <c r="C375" s="13"/>
      <c r="D375" s="74" t="s">
        <v>1054</v>
      </c>
      <c r="E375" s="78" t="s">
        <v>1055</v>
      </c>
      <c r="F375" s="43" t="s">
        <v>1056</v>
      </c>
      <c r="G375" s="24" t="s">
        <v>4</v>
      </c>
      <c r="H375" s="13"/>
      <c r="I375" s="75" t="s">
        <v>38</v>
      </c>
      <c r="J375" s="13"/>
      <c r="K375" s="13"/>
      <c r="L375" s="13"/>
      <c r="M375" s="43"/>
      <c r="N375" s="43"/>
    </row>
    <row r="376" spans="1:15" ht="40.5" customHeight="1">
      <c r="A376" s="6" t="s">
        <v>1057</v>
      </c>
      <c r="B376" s="69" t="s">
        <v>1058</v>
      </c>
      <c r="C376" s="13"/>
      <c r="D376" s="74" t="s">
        <v>1059</v>
      </c>
      <c r="E376" s="78" t="s">
        <v>1060</v>
      </c>
      <c r="F376" s="43" t="s">
        <v>1061</v>
      </c>
      <c r="G376" s="24" t="s">
        <v>4</v>
      </c>
      <c r="H376" s="13"/>
      <c r="I376" s="75" t="s">
        <v>38</v>
      </c>
      <c r="J376" s="13"/>
      <c r="K376" s="13"/>
      <c r="L376" s="13"/>
      <c r="M376" s="43"/>
      <c r="N376" s="43"/>
    </row>
    <row r="377" spans="1:15" ht="40.5" customHeight="1">
      <c r="A377" s="6" t="s">
        <v>1062</v>
      </c>
      <c r="B377" s="69" t="s">
        <v>1063</v>
      </c>
      <c r="C377" s="13"/>
      <c r="D377" s="74" t="s">
        <v>1064</v>
      </c>
      <c r="E377" s="78" t="s">
        <v>1065</v>
      </c>
      <c r="F377" s="43" t="s">
        <v>599</v>
      </c>
      <c r="G377" s="24" t="s">
        <v>4</v>
      </c>
      <c r="H377" s="13"/>
      <c r="I377" s="75" t="s">
        <v>38</v>
      </c>
      <c r="J377" s="13"/>
      <c r="K377" s="13"/>
      <c r="L377" s="13"/>
      <c r="M377" s="43"/>
      <c r="N377" s="43"/>
    </row>
    <row r="378" spans="1:15" ht="40.5" customHeight="1">
      <c r="A378" s="6" t="s">
        <v>1066</v>
      </c>
      <c r="B378" s="69" t="s">
        <v>1067</v>
      </c>
      <c r="C378" s="13"/>
      <c r="D378" s="74" t="s">
        <v>1068</v>
      </c>
      <c r="E378" s="78" t="s">
        <v>1069</v>
      </c>
      <c r="F378" s="43" t="s">
        <v>596</v>
      </c>
      <c r="G378" s="24" t="s">
        <v>4</v>
      </c>
      <c r="H378" s="13"/>
      <c r="I378" s="75" t="s">
        <v>38</v>
      </c>
      <c r="J378" s="13"/>
      <c r="K378" s="13"/>
      <c r="L378" s="13"/>
      <c r="M378" s="43"/>
      <c r="N378" s="43"/>
    </row>
    <row r="379" spans="1:15" ht="40.5" customHeight="1">
      <c r="A379" s="6" t="s">
        <v>1070</v>
      </c>
      <c r="B379" s="69" t="s">
        <v>1071</v>
      </c>
      <c r="C379" s="13"/>
      <c r="D379" s="74" t="s">
        <v>1072</v>
      </c>
      <c r="E379" s="78" t="s">
        <v>1073</v>
      </c>
      <c r="F379" s="43" t="s">
        <v>1074</v>
      </c>
      <c r="G379" s="24" t="s">
        <v>4</v>
      </c>
      <c r="H379" s="13"/>
      <c r="I379" s="75" t="s">
        <v>38</v>
      </c>
      <c r="J379" s="13"/>
      <c r="K379" s="13"/>
      <c r="L379" s="13"/>
      <c r="M379" s="43"/>
      <c r="N379" s="43"/>
    </row>
    <row r="380" spans="1:15" ht="40.5" customHeight="1">
      <c r="A380" s="6" t="s">
        <v>1075</v>
      </c>
      <c r="B380" s="69" t="s">
        <v>1076</v>
      </c>
      <c r="C380" s="13"/>
      <c r="D380" s="74" t="s">
        <v>1077</v>
      </c>
      <c r="E380" s="78" t="s">
        <v>1078</v>
      </c>
      <c r="F380" s="43" t="s">
        <v>1079</v>
      </c>
      <c r="G380" s="24" t="s">
        <v>4</v>
      </c>
      <c r="H380" s="13"/>
      <c r="I380" s="75" t="s">
        <v>38</v>
      </c>
      <c r="J380" s="13"/>
      <c r="K380" s="13"/>
      <c r="L380" s="13"/>
      <c r="M380" s="43"/>
      <c r="N380" s="43"/>
    </row>
    <row r="381" spans="1:15" ht="40.5" customHeight="1">
      <c r="A381" s="6" t="s">
        <v>1080</v>
      </c>
      <c r="B381" s="69" t="s">
        <v>1081</v>
      </c>
      <c r="C381" s="13"/>
      <c r="D381" s="74" t="s">
        <v>1082</v>
      </c>
      <c r="E381" s="74" t="s">
        <v>1048</v>
      </c>
      <c r="F381" s="43" t="s">
        <v>1083</v>
      </c>
      <c r="G381" s="24" t="s">
        <v>4</v>
      </c>
      <c r="H381" s="13"/>
      <c r="I381" s="75" t="s">
        <v>38</v>
      </c>
      <c r="J381" s="13"/>
      <c r="K381" s="13"/>
      <c r="L381" s="13"/>
      <c r="M381" s="43"/>
      <c r="N381" s="43"/>
    </row>
    <row r="382" spans="1:15" ht="40.5" customHeight="1">
      <c r="A382" s="6" t="s">
        <v>1084</v>
      </c>
      <c r="B382" s="69" t="s">
        <v>1085</v>
      </c>
      <c r="C382" s="13"/>
      <c r="D382" s="74" t="s">
        <v>1086</v>
      </c>
      <c r="E382" s="74" t="s">
        <v>1048</v>
      </c>
      <c r="F382" s="43" t="s">
        <v>1087</v>
      </c>
      <c r="G382" s="24" t="s">
        <v>4</v>
      </c>
      <c r="H382" s="13"/>
      <c r="I382" s="75" t="s">
        <v>38</v>
      </c>
      <c r="J382" s="13"/>
      <c r="K382" s="13"/>
      <c r="L382" s="13"/>
      <c r="M382" s="43"/>
      <c r="N382" s="43"/>
    </row>
    <row r="383" spans="1:15" ht="56.25" customHeight="1">
      <c r="A383" s="6" t="s">
        <v>1088</v>
      </c>
      <c r="B383" s="69" t="s">
        <v>1089</v>
      </c>
      <c r="C383" s="13"/>
      <c r="D383" s="74" t="s">
        <v>1090</v>
      </c>
      <c r="E383" s="79" t="s">
        <v>1091</v>
      </c>
      <c r="F383" s="43" t="s">
        <v>1092</v>
      </c>
      <c r="G383" s="24" t="s">
        <v>4</v>
      </c>
      <c r="H383" s="13"/>
      <c r="I383" s="75" t="s">
        <v>38</v>
      </c>
      <c r="J383" s="13"/>
      <c r="K383" s="13"/>
      <c r="L383" s="13"/>
      <c r="M383" s="43"/>
      <c r="N383" s="43"/>
    </row>
    <row r="384" spans="1:15">
      <c r="A384" s="6" t="s">
        <v>1093</v>
      </c>
      <c r="B384" s="69" t="s">
        <v>1094</v>
      </c>
      <c r="C384" s="13"/>
      <c r="D384" s="74"/>
      <c r="E384" s="79" t="s">
        <v>1095</v>
      </c>
      <c r="F384" s="43" t="s">
        <v>1094</v>
      </c>
      <c r="G384" s="24" t="s">
        <v>4</v>
      </c>
      <c r="H384" s="13"/>
      <c r="I384" s="75" t="s">
        <v>38</v>
      </c>
      <c r="J384" s="13"/>
      <c r="K384" s="13"/>
      <c r="L384" s="13"/>
      <c r="M384" s="43"/>
      <c r="N384" s="43"/>
    </row>
    <row r="385" spans="1:15">
      <c r="A385" s="6" t="s">
        <v>1096</v>
      </c>
      <c r="B385" s="69" t="s">
        <v>1097</v>
      </c>
      <c r="C385" s="13"/>
      <c r="D385" s="74"/>
      <c r="E385" s="79" t="s">
        <v>1095</v>
      </c>
      <c r="F385" s="43" t="s">
        <v>1097</v>
      </c>
      <c r="G385" s="24" t="s">
        <v>4</v>
      </c>
      <c r="H385" s="13"/>
      <c r="I385" s="75" t="s">
        <v>38</v>
      </c>
      <c r="J385" s="13"/>
      <c r="K385" s="13"/>
      <c r="L385" s="13"/>
      <c r="M385" s="43"/>
      <c r="N385" s="43"/>
    </row>
    <row r="386" spans="1:15">
      <c r="B386" s="69"/>
      <c r="C386" s="13"/>
      <c r="D386" s="74"/>
      <c r="E386" s="79"/>
      <c r="F386" s="43"/>
      <c r="G386" s="24"/>
      <c r="H386" s="13"/>
      <c r="I386" s="13"/>
      <c r="J386" s="13"/>
      <c r="K386" s="13"/>
      <c r="L386" s="13"/>
      <c r="M386" s="43"/>
      <c r="N386" s="43"/>
    </row>
    <row r="387" spans="1:15">
      <c r="A387" s="77" t="s">
        <v>1098</v>
      </c>
      <c r="B387" s="81"/>
      <c r="C387" s="76" t="s">
        <v>371</v>
      </c>
      <c r="D387" s="82"/>
      <c r="E387" s="82"/>
      <c r="F387" s="81"/>
      <c r="G387" s="48"/>
      <c r="H387" s="48"/>
      <c r="I387" s="48"/>
      <c r="J387" s="48"/>
      <c r="K387" s="48"/>
      <c r="L387" s="48"/>
      <c r="M387" s="48"/>
      <c r="N387" s="48"/>
      <c r="O387" s="95"/>
    </row>
    <row r="388" spans="1:15" ht="56.25" customHeight="1">
      <c r="A388" s="6" t="s">
        <v>1099</v>
      </c>
      <c r="B388" s="73" t="s">
        <v>1100</v>
      </c>
      <c r="C388" s="24"/>
      <c r="D388" s="74" t="s">
        <v>1101</v>
      </c>
      <c r="E388" s="74" t="s">
        <v>1102</v>
      </c>
      <c r="F388" s="31" t="s">
        <v>1103</v>
      </c>
      <c r="G388" s="24" t="s">
        <v>4</v>
      </c>
      <c r="H388" s="24"/>
      <c r="I388" s="24"/>
      <c r="J388" s="24"/>
      <c r="K388" s="24" t="s">
        <v>38</v>
      </c>
      <c r="L388" s="92"/>
      <c r="M388" s="24"/>
      <c r="N388" s="24"/>
      <c r="O388" s="95"/>
    </row>
    <row r="389" spans="1:15">
      <c r="B389" s="41"/>
      <c r="C389" s="13"/>
      <c r="D389" s="42"/>
      <c r="E389" s="42"/>
      <c r="F389" s="43"/>
      <c r="G389" s="43"/>
      <c r="H389" s="13"/>
      <c r="I389" s="13"/>
      <c r="J389" s="13"/>
      <c r="K389" s="13"/>
      <c r="L389" s="13"/>
      <c r="M389" s="43"/>
      <c r="N389" s="43"/>
    </row>
    <row r="390" spans="1:15">
      <c r="A390" s="77" t="s">
        <v>1104</v>
      </c>
      <c r="B390" s="81"/>
      <c r="C390" s="76" t="s">
        <v>371</v>
      </c>
      <c r="D390" s="82"/>
      <c r="E390" s="82"/>
      <c r="F390" s="81"/>
      <c r="G390" s="48"/>
      <c r="H390" s="48"/>
      <c r="I390" s="48"/>
      <c r="J390" s="48"/>
      <c r="K390" s="48"/>
      <c r="L390" s="48"/>
      <c r="M390" s="48"/>
      <c r="N390" s="48"/>
      <c r="O390" s="95"/>
    </row>
    <row r="391" spans="1:15" ht="37.5" customHeight="1">
      <c r="A391" s="6" t="s">
        <v>1105</v>
      </c>
      <c r="B391" s="69" t="s">
        <v>1106</v>
      </c>
      <c r="C391" s="13"/>
      <c r="D391" s="79" t="s">
        <v>1107</v>
      </c>
      <c r="E391" s="78" t="s">
        <v>1108</v>
      </c>
      <c r="F391" s="43"/>
      <c r="G391" s="24" t="s">
        <v>4</v>
      </c>
      <c r="H391" s="24" t="s">
        <v>38</v>
      </c>
      <c r="I391" s="13"/>
      <c r="J391" s="13"/>
      <c r="K391" s="13"/>
      <c r="L391" s="13"/>
      <c r="M391" s="43"/>
      <c r="N391" s="43"/>
    </row>
    <row r="392" spans="1:15" ht="37.5" customHeight="1">
      <c r="A392" s="6" t="s">
        <v>1109</v>
      </c>
      <c r="B392" s="69" t="s">
        <v>1110</v>
      </c>
      <c r="C392" s="13"/>
      <c r="D392" s="79" t="s">
        <v>1111</v>
      </c>
      <c r="E392" s="78" t="s">
        <v>1108</v>
      </c>
      <c r="F392" s="43"/>
      <c r="G392" s="24" t="s">
        <v>4</v>
      </c>
      <c r="H392" s="24" t="s">
        <v>38</v>
      </c>
      <c r="I392" s="13"/>
      <c r="J392" s="13"/>
      <c r="K392" s="13"/>
      <c r="L392" s="13"/>
      <c r="M392" s="43"/>
      <c r="N392" s="43"/>
    </row>
    <row r="393" spans="1:15" ht="37.5" customHeight="1">
      <c r="A393" s="6" t="s">
        <v>1112</v>
      </c>
      <c r="B393" s="69" t="s">
        <v>1113</v>
      </c>
      <c r="C393" s="13"/>
      <c r="D393" s="79" t="s">
        <v>1114</v>
      </c>
      <c r="E393" s="78" t="s">
        <v>1108</v>
      </c>
      <c r="F393" s="43"/>
      <c r="G393" s="24" t="s">
        <v>4</v>
      </c>
      <c r="H393" s="24" t="s">
        <v>38</v>
      </c>
      <c r="I393" s="13"/>
      <c r="J393" s="13"/>
      <c r="K393" s="13"/>
      <c r="L393" s="13"/>
      <c r="M393" s="43"/>
      <c r="N393" s="43"/>
    </row>
    <row r="394" spans="1:15" ht="37.5" customHeight="1">
      <c r="A394" s="6" t="s">
        <v>1115</v>
      </c>
      <c r="B394" s="69" t="s">
        <v>1116</v>
      </c>
      <c r="C394" s="13"/>
      <c r="D394" s="79" t="s">
        <v>1117</v>
      </c>
      <c r="E394" s="78" t="s">
        <v>1108</v>
      </c>
      <c r="F394" s="43"/>
      <c r="G394" s="24" t="s">
        <v>4</v>
      </c>
      <c r="H394" s="24" t="s">
        <v>38</v>
      </c>
      <c r="I394" s="13"/>
      <c r="J394" s="13"/>
      <c r="K394" s="13"/>
      <c r="L394" s="13"/>
      <c r="M394" s="43"/>
      <c r="N394" s="43"/>
    </row>
    <row r="395" spans="1:15" ht="37.5" customHeight="1">
      <c r="A395" s="6" t="s">
        <v>1118</v>
      </c>
      <c r="B395" s="69" t="s">
        <v>1119</v>
      </c>
      <c r="C395" s="13"/>
      <c r="D395" s="79" t="s">
        <v>1120</v>
      </c>
      <c r="E395" s="78" t="s">
        <v>1108</v>
      </c>
      <c r="F395" s="43"/>
      <c r="G395" s="24" t="s">
        <v>4</v>
      </c>
      <c r="H395" s="24" t="s">
        <v>38</v>
      </c>
      <c r="I395" s="13"/>
      <c r="J395" s="13"/>
      <c r="K395" s="13"/>
      <c r="L395" s="13"/>
      <c r="M395" s="43"/>
      <c r="N395" s="43"/>
    </row>
    <row r="396" spans="1:15" ht="37.5" customHeight="1">
      <c r="A396" s="6" t="s">
        <v>1121</v>
      </c>
      <c r="B396" s="69" t="s">
        <v>1122</v>
      </c>
      <c r="C396" s="13"/>
      <c r="D396" s="79" t="s">
        <v>1123</v>
      </c>
      <c r="E396" s="79" t="s">
        <v>1124</v>
      </c>
      <c r="F396" s="43" t="s">
        <v>1125</v>
      </c>
      <c r="G396" s="24" t="s">
        <v>4</v>
      </c>
      <c r="H396" s="13"/>
      <c r="I396" s="13"/>
      <c r="J396" s="13"/>
      <c r="K396" s="24" t="s">
        <v>38</v>
      </c>
      <c r="L396" s="13"/>
      <c r="M396" s="43"/>
      <c r="N396" s="43"/>
    </row>
    <row r="397" spans="1:15" ht="56.25" customHeight="1">
      <c r="A397" s="6" t="s">
        <v>1126</v>
      </c>
      <c r="B397" s="69" t="s">
        <v>1127</v>
      </c>
      <c r="C397" s="13"/>
      <c r="D397" s="79" t="s">
        <v>1128</v>
      </c>
      <c r="E397" s="79" t="s">
        <v>1129</v>
      </c>
      <c r="F397" s="43"/>
      <c r="G397" s="24" t="s">
        <v>4</v>
      </c>
      <c r="H397" s="13"/>
      <c r="I397" s="13"/>
      <c r="J397" s="13"/>
      <c r="K397" s="24" t="s">
        <v>38</v>
      </c>
      <c r="L397" s="13"/>
      <c r="M397" s="43"/>
      <c r="N397" s="43"/>
    </row>
    <row r="398" spans="1:15">
      <c r="A398" s="41"/>
      <c r="B398" s="69"/>
      <c r="C398" s="13"/>
      <c r="D398" s="79"/>
      <c r="E398" s="42"/>
      <c r="F398" s="43"/>
      <c r="G398" s="24"/>
      <c r="H398" s="13"/>
      <c r="I398" s="13"/>
      <c r="J398" s="13"/>
      <c r="K398" s="13"/>
      <c r="L398" s="13"/>
      <c r="M398" s="43"/>
      <c r="N398" s="43"/>
    </row>
    <row r="399" spans="1:15">
      <c r="A399" s="72" t="s">
        <v>1130</v>
      </c>
      <c r="B399" s="45"/>
      <c r="C399" s="71"/>
      <c r="D399" s="46"/>
      <c r="E399" s="46"/>
      <c r="F399" s="45"/>
      <c r="G399" s="29"/>
      <c r="H399" s="29"/>
      <c r="I399" s="29"/>
      <c r="J399" s="29"/>
      <c r="K399" s="29"/>
      <c r="L399" s="29"/>
      <c r="M399" s="29"/>
      <c r="N399" s="29"/>
      <c r="O399" s="95"/>
    </row>
    <row r="400" spans="1:15">
      <c r="A400" s="77" t="s">
        <v>1131</v>
      </c>
      <c r="B400" s="81"/>
      <c r="C400" s="76" t="s">
        <v>371</v>
      </c>
      <c r="D400" s="82"/>
      <c r="E400" s="82"/>
      <c r="F400" s="81"/>
      <c r="G400" s="48"/>
      <c r="H400" s="48"/>
      <c r="I400" s="48"/>
      <c r="J400" s="48"/>
      <c r="K400" s="48"/>
      <c r="L400" s="48"/>
      <c r="M400" s="48"/>
      <c r="N400" s="48"/>
      <c r="O400" s="95"/>
    </row>
    <row r="401" spans="1:15" s="91" customFormat="1" ht="75" customHeight="1">
      <c r="A401" s="55" t="s">
        <v>1132</v>
      </c>
      <c r="B401" s="55" t="s">
        <v>1133</v>
      </c>
      <c r="C401" s="57"/>
      <c r="D401" s="73" t="s">
        <v>1134</v>
      </c>
      <c r="E401" s="89" t="s">
        <v>1135</v>
      </c>
      <c r="F401" s="53" t="s">
        <v>1136</v>
      </c>
      <c r="G401" s="75" t="s">
        <v>4</v>
      </c>
      <c r="H401" s="57" t="s">
        <v>38</v>
      </c>
      <c r="I401" s="57"/>
      <c r="J401" s="57"/>
      <c r="K401" s="57" t="s">
        <v>38</v>
      </c>
      <c r="L401" s="90"/>
      <c r="M401" s="57"/>
      <c r="N401" s="57"/>
    </row>
    <row r="402" spans="1:15" s="91" customFormat="1" ht="57" customHeight="1">
      <c r="A402" s="55" t="s">
        <v>1137</v>
      </c>
      <c r="B402" s="55" t="s">
        <v>820</v>
      </c>
      <c r="C402" s="57"/>
      <c r="D402" s="53" t="s">
        <v>1138</v>
      </c>
      <c r="E402" s="53" t="s">
        <v>1139</v>
      </c>
      <c r="F402" t="s">
        <v>1140</v>
      </c>
      <c r="G402" s="75" t="s">
        <v>4</v>
      </c>
      <c r="H402" s="57" t="s">
        <v>38</v>
      </c>
      <c r="I402" s="57"/>
      <c r="J402" s="57"/>
      <c r="K402" s="75"/>
      <c r="L402" s="90"/>
      <c r="M402" s="57"/>
      <c r="N402" s="57"/>
    </row>
    <row r="403" spans="1:15" s="91" customFormat="1" ht="57" customHeight="1">
      <c r="A403" s="55" t="s">
        <v>1141</v>
      </c>
      <c r="B403" s="55" t="s">
        <v>1142</v>
      </c>
      <c r="C403" s="57"/>
      <c r="D403" s="53" t="s">
        <v>1143</v>
      </c>
      <c r="E403" s="89" t="s">
        <v>1144</v>
      </c>
      <c r="F403" s="53" t="s">
        <v>1145</v>
      </c>
      <c r="G403" s="75" t="s">
        <v>4</v>
      </c>
      <c r="I403" s="57"/>
      <c r="J403" s="57"/>
      <c r="K403" s="57" t="s">
        <v>38</v>
      </c>
      <c r="L403" s="90"/>
      <c r="M403" s="57"/>
      <c r="N403" s="57" t="s">
        <v>1146</v>
      </c>
    </row>
    <row r="404" spans="1:15" s="91" customFormat="1" ht="56.25" customHeight="1">
      <c r="A404" s="55" t="s">
        <v>1147</v>
      </c>
      <c r="B404" s="55" t="s">
        <v>515</v>
      </c>
      <c r="C404" s="57"/>
      <c r="D404" s="53" t="s">
        <v>1148</v>
      </c>
      <c r="E404" s="53" t="s">
        <v>847</v>
      </c>
      <c r="F404" s="53"/>
      <c r="G404" s="75" t="s">
        <v>4</v>
      </c>
      <c r="H404" s="57" t="s">
        <v>38</v>
      </c>
      <c r="I404" s="57"/>
      <c r="J404" s="57"/>
      <c r="K404" s="57"/>
      <c r="L404" s="90"/>
      <c r="M404" s="57"/>
      <c r="N404" s="57"/>
    </row>
    <row r="405" spans="1:15" s="91" customFormat="1">
      <c r="B405" s="55"/>
      <c r="C405" s="57"/>
      <c r="D405" s="53"/>
      <c r="E405" s="53"/>
      <c r="F405" s="53"/>
      <c r="G405" s="75"/>
      <c r="H405" s="57"/>
      <c r="I405" s="57"/>
      <c r="J405" s="57"/>
      <c r="K405" s="75"/>
      <c r="L405" s="90"/>
      <c r="M405" s="57"/>
      <c r="N405" s="57"/>
    </row>
    <row r="406" spans="1:15">
      <c r="A406" s="77" t="s">
        <v>1149</v>
      </c>
      <c r="B406" s="81"/>
      <c r="C406" s="76" t="s">
        <v>371</v>
      </c>
      <c r="D406" s="82"/>
      <c r="E406" s="82"/>
      <c r="F406" s="81"/>
      <c r="G406" s="48"/>
      <c r="H406" s="48"/>
      <c r="I406" s="48"/>
      <c r="J406" s="48"/>
      <c r="K406" s="48"/>
      <c r="L406" s="48"/>
      <c r="M406" s="48"/>
      <c r="N406" s="48"/>
      <c r="O406" s="95"/>
    </row>
    <row r="407" spans="1:15" s="91" customFormat="1" ht="75" customHeight="1">
      <c r="A407" s="55" t="s">
        <v>1150</v>
      </c>
      <c r="B407" s="55" t="s">
        <v>1151</v>
      </c>
      <c r="C407" s="57"/>
      <c r="D407" s="73" t="s">
        <v>1152</v>
      </c>
      <c r="E407" s="89" t="s">
        <v>1153</v>
      </c>
      <c r="F407" s="53" t="s">
        <v>1154</v>
      </c>
      <c r="G407" s="75" t="s">
        <v>4</v>
      </c>
      <c r="H407" s="57" t="s">
        <v>38</v>
      </c>
      <c r="I407" s="57"/>
      <c r="J407" s="57"/>
      <c r="K407" s="57" t="s">
        <v>38</v>
      </c>
      <c r="L407" s="90"/>
      <c r="M407" s="57"/>
      <c r="N407" s="57"/>
    </row>
    <row r="408" spans="1:15" s="91" customFormat="1" ht="57" customHeight="1">
      <c r="A408" s="55" t="s">
        <v>1155</v>
      </c>
      <c r="B408" s="55" t="s">
        <v>820</v>
      </c>
      <c r="C408" s="57"/>
      <c r="D408" s="53" t="s">
        <v>1156</v>
      </c>
      <c r="E408" s="53" t="s">
        <v>1139</v>
      </c>
      <c r="F408" s="53" t="s">
        <v>1157</v>
      </c>
      <c r="G408" s="75" t="s">
        <v>4</v>
      </c>
      <c r="H408" s="57" t="s">
        <v>38</v>
      </c>
      <c r="I408" s="57"/>
      <c r="J408" s="57"/>
      <c r="K408" s="75"/>
      <c r="L408" s="90"/>
      <c r="M408" s="57"/>
      <c r="N408" s="57"/>
    </row>
    <row r="409" spans="1:15" s="91" customFormat="1" ht="57" customHeight="1">
      <c r="A409" s="55" t="s">
        <v>1158</v>
      </c>
      <c r="B409" s="55" t="s">
        <v>1142</v>
      </c>
      <c r="C409" s="57"/>
      <c r="D409" s="53" t="s">
        <v>1159</v>
      </c>
      <c r="E409" s="89" t="s">
        <v>1160</v>
      </c>
      <c r="F409" s="90" t="s">
        <v>1161</v>
      </c>
      <c r="G409" s="75" t="s">
        <v>4</v>
      </c>
      <c r="I409" s="57"/>
      <c r="J409" s="57"/>
      <c r="K409" s="57" t="s">
        <v>38</v>
      </c>
      <c r="L409" s="90"/>
      <c r="M409" s="57"/>
      <c r="N409" s="57" t="s">
        <v>1146</v>
      </c>
    </row>
    <row r="410" spans="1:15" s="91" customFormat="1" ht="56.25" customHeight="1">
      <c r="A410" s="55" t="s">
        <v>1162</v>
      </c>
      <c r="B410" s="55" t="s">
        <v>515</v>
      </c>
      <c r="C410" s="57"/>
      <c r="D410" s="53" t="s">
        <v>1163</v>
      </c>
      <c r="E410" s="53" t="s">
        <v>847</v>
      </c>
      <c r="F410" s="53" t="s">
        <v>1164</v>
      </c>
      <c r="G410" s="75" t="s">
        <v>5</v>
      </c>
      <c r="H410" s="57" t="s">
        <v>38</v>
      </c>
      <c r="I410" s="57"/>
      <c r="J410" s="57"/>
      <c r="K410" s="57"/>
      <c r="L410" s="90"/>
      <c r="M410" s="57"/>
      <c r="N410" s="57"/>
    </row>
    <row r="411" spans="1:15">
      <c r="B411" s="41"/>
      <c r="C411" s="13"/>
      <c r="D411" s="42"/>
      <c r="E411" s="42"/>
      <c r="F411" s="43"/>
      <c r="G411" s="24"/>
      <c r="H411" s="13"/>
      <c r="I411" s="13"/>
      <c r="J411" s="13"/>
      <c r="K411" s="13"/>
      <c r="L411" s="13"/>
      <c r="M411" s="43"/>
      <c r="N411" s="43"/>
    </row>
    <row r="412" spans="1:15">
      <c r="A412" s="77" t="s">
        <v>1165</v>
      </c>
      <c r="B412" s="81"/>
      <c r="C412" s="76" t="s">
        <v>371</v>
      </c>
      <c r="D412" s="82"/>
      <c r="E412" s="82"/>
      <c r="F412" s="81"/>
      <c r="G412" s="48"/>
      <c r="H412" s="48"/>
      <c r="I412" s="48"/>
      <c r="J412" s="48"/>
      <c r="K412" s="48"/>
      <c r="L412" s="48"/>
      <c r="M412" s="48"/>
      <c r="N412" s="48"/>
      <c r="O412" s="95"/>
    </row>
    <row r="413" spans="1:15" s="91" customFormat="1" ht="56.25" customHeight="1">
      <c r="A413" s="55" t="s">
        <v>1166</v>
      </c>
      <c r="B413" s="55" t="s">
        <v>1151</v>
      </c>
      <c r="C413" s="57"/>
      <c r="D413" s="73" t="s">
        <v>1167</v>
      </c>
      <c r="E413" s="89" t="s">
        <v>1168</v>
      </c>
      <c r="F413" s="53" t="s">
        <v>1169</v>
      </c>
      <c r="G413" s="75" t="s">
        <v>4</v>
      </c>
      <c r="H413" s="57" t="s">
        <v>38</v>
      </c>
      <c r="I413" s="57"/>
      <c r="J413" s="57"/>
      <c r="K413" s="57" t="s">
        <v>38</v>
      </c>
      <c r="L413" s="90"/>
      <c r="M413" s="57"/>
      <c r="N413" s="57"/>
    </row>
    <row r="414" spans="1:15" s="91" customFormat="1" ht="57" customHeight="1">
      <c r="A414" s="55" t="s">
        <v>1170</v>
      </c>
      <c r="B414" s="55" t="s">
        <v>820</v>
      </c>
      <c r="C414" s="57"/>
      <c r="D414" s="53" t="s">
        <v>1171</v>
      </c>
      <c r="E414" s="53" t="s">
        <v>1139</v>
      </c>
      <c r="F414" s="53" t="s">
        <v>1172</v>
      </c>
      <c r="G414" s="75" t="s">
        <v>4</v>
      </c>
      <c r="H414" s="57" t="s">
        <v>38</v>
      </c>
      <c r="I414" s="57"/>
      <c r="J414" s="57"/>
      <c r="K414" s="75"/>
      <c r="L414" s="90"/>
      <c r="M414" s="57"/>
      <c r="N414" s="57"/>
    </row>
    <row r="415" spans="1:15" s="91" customFormat="1" ht="56.25" customHeight="1">
      <c r="A415" s="55" t="s">
        <v>1173</v>
      </c>
      <c r="B415" s="55" t="s">
        <v>515</v>
      </c>
      <c r="C415" s="57"/>
      <c r="D415" s="53" t="s">
        <v>1174</v>
      </c>
      <c r="E415" s="53" t="s">
        <v>847</v>
      </c>
      <c r="F415" s="53"/>
      <c r="G415" s="75" t="s">
        <v>4</v>
      </c>
      <c r="H415" s="90"/>
      <c r="I415" s="57"/>
      <c r="J415" s="57"/>
      <c r="K415" s="57" t="s">
        <v>38</v>
      </c>
      <c r="L415" s="90"/>
      <c r="M415" s="57"/>
      <c r="N415" s="57"/>
    </row>
    <row r="416" spans="1:15">
      <c r="A416" s="41"/>
      <c r="B416" s="41"/>
      <c r="C416" s="13"/>
      <c r="D416" s="42"/>
      <c r="E416" s="42"/>
      <c r="F416" s="43"/>
      <c r="G416" s="43"/>
      <c r="H416" s="13"/>
      <c r="I416" s="13"/>
      <c r="J416" s="13"/>
      <c r="K416" s="13"/>
      <c r="L416" s="13"/>
      <c r="M416" s="43"/>
      <c r="N416" s="43"/>
    </row>
    <row r="417" spans="1:15">
      <c r="A417" s="41"/>
      <c r="B417" s="41"/>
      <c r="C417" s="13"/>
      <c r="D417" s="42"/>
      <c r="E417" s="42"/>
      <c r="F417" s="43"/>
      <c r="G417" s="43"/>
      <c r="H417" s="13"/>
      <c r="I417" s="13"/>
      <c r="J417" s="13"/>
      <c r="K417" s="13"/>
      <c r="L417" s="13"/>
      <c r="M417" s="43"/>
      <c r="N417" s="43"/>
    </row>
    <row r="418" spans="1:15">
      <c r="A418" s="6"/>
      <c r="B418" s="6"/>
      <c r="C418" s="10"/>
      <c r="D418" s="9"/>
      <c r="E418" s="9"/>
      <c r="F418" s="6"/>
      <c r="G418" s="24"/>
      <c r="H418" s="10"/>
      <c r="I418" s="10"/>
      <c r="J418" s="10"/>
      <c r="K418" s="10"/>
      <c r="L418" s="24"/>
      <c r="M418" s="10"/>
      <c r="N418" s="10"/>
    </row>
    <row r="419" spans="1:15">
      <c r="A419" s="6"/>
      <c r="B419" s="6"/>
      <c r="C419" s="10"/>
      <c r="D419" s="9"/>
      <c r="E419" s="9"/>
      <c r="F419" s="6"/>
      <c r="G419" s="24"/>
      <c r="H419" s="10"/>
      <c r="I419" s="10"/>
      <c r="J419" s="10"/>
      <c r="K419" s="10"/>
      <c r="L419" s="24"/>
      <c r="M419" s="10"/>
      <c r="N419" s="10"/>
    </row>
    <row r="420" spans="1:15">
      <c r="A420" s="6"/>
      <c r="B420" s="6"/>
      <c r="C420" s="10"/>
      <c r="D420" s="9"/>
      <c r="E420" s="9"/>
      <c r="F420" s="6"/>
      <c r="G420" s="24"/>
      <c r="H420" s="10"/>
      <c r="I420" s="10"/>
      <c r="J420" s="10"/>
      <c r="K420" s="10"/>
      <c r="L420" s="24"/>
      <c r="M420" s="10"/>
      <c r="N420" s="10"/>
    </row>
    <row r="421" spans="1:15">
      <c r="A421" s="6"/>
      <c r="B421" s="6"/>
      <c r="C421" s="10"/>
      <c r="D421" s="9"/>
      <c r="E421" s="9"/>
      <c r="F421" s="6"/>
      <c r="G421" s="24"/>
      <c r="H421" s="10"/>
      <c r="I421" s="10"/>
      <c r="J421" s="10"/>
      <c r="K421" s="10"/>
      <c r="L421" s="24"/>
      <c r="M421" s="10"/>
      <c r="N421" s="25"/>
    </row>
    <row r="422" spans="1:15">
      <c r="A422" s="6"/>
      <c r="B422" s="6"/>
      <c r="C422" s="10"/>
      <c r="D422" s="9"/>
      <c r="E422" s="9"/>
      <c r="F422" s="6"/>
      <c r="G422" s="24"/>
      <c r="H422" s="10"/>
      <c r="I422" s="10"/>
      <c r="J422" s="10"/>
      <c r="K422" s="10"/>
      <c r="L422" s="24"/>
      <c r="M422" s="10"/>
      <c r="N422" s="25"/>
    </row>
    <row r="423" spans="1:15">
      <c r="A423" s="6"/>
      <c r="B423" s="6"/>
      <c r="C423" s="10"/>
      <c r="D423" s="9"/>
      <c r="E423" s="9"/>
      <c r="F423" s="6"/>
      <c r="G423" s="24"/>
      <c r="H423" s="10"/>
      <c r="I423" s="10"/>
      <c r="J423" s="10"/>
      <c r="K423" s="10"/>
      <c r="L423" s="24"/>
      <c r="M423" s="10"/>
      <c r="N423" s="10"/>
    </row>
    <row r="424" spans="1:15">
      <c r="A424" s="6"/>
      <c r="B424" s="6"/>
      <c r="C424" s="10"/>
      <c r="D424" s="9"/>
      <c r="E424" s="9"/>
      <c r="F424" s="6"/>
      <c r="G424" s="24"/>
      <c r="H424" s="10"/>
      <c r="I424" s="10"/>
      <c r="J424" s="10"/>
      <c r="K424" s="13"/>
      <c r="L424" s="24"/>
      <c r="M424" s="10"/>
      <c r="N424" s="10"/>
      <c r="O424" s="95"/>
    </row>
  </sheetData>
  <autoFilter ref="G1:L424"/>
  <mergeCells count="10">
    <mergeCell ref="O1:U1"/>
    <mergeCell ref="M7:N7"/>
    <mergeCell ref="O3:V3"/>
    <mergeCell ref="M4:N4"/>
    <mergeCell ref="M6:N6"/>
    <mergeCell ref="O2:V2"/>
    <mergeCell ref="O5:V5"/>
    <mergeCell ref="M5:N5"/>
    <mergeCell ref="L3:N3"/>
    <mergeCell ref="O4:V4"/>
  </mergeCells>
  <conditionalFormatting sqref="G36 G46:G58 G111:G127 G129:G130 G144 G146:G147 G161 G164 G167:G170 G172:G174 G176:G180 G182:G211 G215 G222 G225 G240 G243 G246 G254 G265 G270 G273:G275 G280:G282 G285:G288 G291 G294 G297 G300:G301 G304:G306 G310 G313:G315 G318 G321:G324 G333:G334 G339:G354 G357:G363 G373:G386 G391:H392 G393:G398 G418:G424 H393:H395 L8:L19 L28:L37 L46:L58 L111:L127 L129:L130 L144 L146:L147 L161 L164 L167:L170 L172:L174 L176:L180 L182:L211 L215 L218:L222 L225 L228:L240 L243 L246 L249:L254 L257:L259 L262 L264:L265 L270 L273:L275 L280:L282 L285:L288 L291 L294 L297 L300:L301 L304:L306 L310 L313:L315 L318 L321:L324 L333:L334 L338:L354 L357:L363 L366 L370 L373 L418:L1048576">
    <cfRule type="cellIs" dxfId="166" priority="187" operator="equal">
      <formula>"Fail"</formula>
    </cfRule>
  </conditionalFormatting>
  <conditionalFormatting sqref="L25">
    <cfRule type="cellIs" dxfId="165" priority="193" operator="equal">
      <formula>"Fail"</formula>
    </cfRule>
  </conditionalFormatting>
  <conditionalFormatting sqref="L1:L2 L23:L24 L26:L27">
    <cfRule type="cellIs" dxfId="164" priority="210" operator="equal">
      <formula>"Fail"</formula>
    </cfRule>
  </conditionalFormatting>
  <conditionalFormatting sqref="G37">
    <cfRule type="cellIs" dxfId="163" priority="206" operator="equal">
      <formula>"Fail"</formula>
    </cfRule>
  </conditionalFormatting>
  <conditionalFormatting sqref="L40:L43 L64:L70 L73 L76 L79:L84 L87 L90:L91 L94:L98 L101 L104:L109">
    <cfRule type="cellIs" dxfId="162" priority="181" operator="equal">
      <formula>"Fail"</formula>
    </cfRule>
  </conditionalFormatting>
  <conditionalFormatting sqref="G40:G43 G64:G70 G73 G76 G79:G84 G87 G90:G91 G94:G98 G101 G104:G109">
    <cfRule type="cellIs" dxfId="161" priority="182" operator="equal">
      <formula>"Fail"</formula>
    </cfRule>
  </conditionalFormatting>
  <conditionalFormatting sqref="L38">
    <cfRule type="cellIs" dxfId="160" priority="179" operator="equal">
      <formula>"Fail"</formula>
    </cfRule>
  </conditionalFormatting>
  <conditionalFormatting sqref="G38">
    <cfRule type="cellIs" dxfId="159" priority="180" operator="equal">
      <formula>"Fail"</formula>
    </cfRule>
  </conditionalFormatting>
  <conditionalFormatting sqref="L39">
    <cfRule type="cellIs" dxfId="158" priority="177" operator="equal">
      <formula>"Fail"</formula>
    </cfRule>
  </conditionalFormatting>
  <conditionalFormatting sqref="G39">
    <cfRule type="cellIs" dxfId="157" priority="178" operator="equal">
      <formula>"Fail"</formula>
    </cfRule>
  </conditionalFormatting>
  <conditionalFormatting sqref="L44">
    <cfRule type="cellIs" dxfId="156" priority="175" operator="equal">
      <formula>"Fail"</formula>
    </cfRule>
  </conditionalFormatting>
  <conditionalFormatting sqref="G44">
    <cfRule type="cellIs" dxfId="155" priority="176" operator="equal">
      <formula>"Fail"</formula>
    </cfRule>
  </conditionalFormatting>
  <conditionalFormatting sqref="L45">
    <cfRule type="cellIs" dxfId="154" priority="173" operator="equal">
      <formula>"Fail"</formula>
    </cfRule>
  </conditionalFormatting>
  <conditionalFormatting sqref="G45">
    <cfRule type="cellIs" dxfId="153" priority="174" operator="equal">
      <formula>"Fail"</formula>
    </cfRule>
  </conditionalFormatting>
  <conditionalFormatting sqref="L59">
    <cfRule type="cellIs" dxfId="152" priority="171" operator="equal">
      <formula>"Fail"</formula>
    </cfRule>
  </conditionalFormatting>
  <conditionalFormatting sqref="G59">
    <cfRule type="cellIs" dxfId="151" priority="172" operator="equal">
      <formula>"Fail"</formula>
    </cfRule>
  </conditionalFormatting>
  <conditionalFormatting sqref="L60:L63">
    <cfRule type="cellIs" dxfId="150" priority="169" operator="equal">
      <formula>"Fail"</formula>
    </cfRule>
  </conditionalFormatting>
  <conditionalFormatting sqref="G60:G63">
    <cfRule type="cellIs" dxfId="149" priority="170" operator="equal">
      <formula>"Fail"</formula>
    </cfRule>
  </conditionalFormatting>
  <conditionalFormatting sqref="L71">
    <cfRule type="cellIs" dxfId="148" priority="167" operator="equal">
      <formula>"Fail"</formula>
    </cfRule>
  </conditionalFormatting>
  <conditionalFormatting sqref="G71">
    <cfRule type="cellIs" dxfId="147" priority="168" operator="equal">
      <formula>"Fail"</formula>
    </cfRule>
  </conditionalFormatting>
  <conditionalFormatting sqref="L72">
    <cfRule type="cellIs" dxfId="146" priority="165" operator="equal">
      <formula>"Fail"</formula>
    </cfRule>
  </conditionalFormatting>
  <conditionalFormatting sqref="G72">
    <cfRule type="cellIs" dxfId="145" priority="166" operator="equal">
      <formula>"Fail"</formula>
    </cfRule>
  </conditionalFormatting>
  <conditionalFormatting sqref="L74">
    <cfRule type="cellIs" dxfId="144" priority="163" operator="equal">
      <formula>"Fail"</formula>
    </cfRule>
  </conditionalFormatting>
  <conditionalFormatting sqref="G74">
    <cfRule type="cellIs" dxfId="143" priority="164" operator="equal">
      <formula>"Fail"</formula>
    </cfRule>
  </conditionalFormatting>
  <conditionalFormatting sqref="L75">
    <cfRule type="cellIs" dxfId="142" priority="161" operator="equal">
      <formula>"Fail"</formula>
    </cfRule>
  </conditionalFormatting>
  <conditionalFormatting sqref="G75">
    <cfRule type="cellIs" dxfId="141" priority="162" operator="equal">
      <formula>"Fail"</formula>
    </cfRule>
  </conditionalFormatting>
  <conditionalFormatting sqref="L77">
    <cfRule type="cellIs" dxfId="140" priority="159" operator="equal">
      <formula>"Fail"</formula>
    </cfRule>
  </conditionalFormatting>
  <conditionalFormatting sqref="G77">
    <cfRule type="cellIs" dxfId="139" priority="160" operator="equal">
      <formula>"Fail"</formula>
    </cfRule>
  </conditionalFormatting>
  <conditionalFormatting sqref="L78">
    <cfRule type="cellIs" dxfId="138" priority="157" operator="equal">
      <formula>"Fail"</formula>
    </cfRule>
  </conditionalFormatting>
  <conditionalFormatting sqref="G78">
    <cfRule type="cellIs" dxfId="137" priority="158" operator="equal">
      <formula>"Fail"</formula>
    </cfRule>
  </conditionalFormatting>
  <conditionalFormatting sqref="L88">
    <cfRule type="cellIs" dxfId="136" priority="155" operator="equal">
      <formula>"Fail"</formula>
    </cfRule>
  </conditionalFormatting>
  <conditionalFormatting sqref="G88">
    <cfRule type="cellIs" dxfId="135" priority="156" operator="equal">
      <formula>"Fail"</formula>
    </cfRule>
  </conditionalFormatting>
  <conditionalFormatting sqref="L89">
    <cfRule type="cellIs" dxfId="134" priority="153" operator="equal">
      <formula>"Fail"</formula>
    </cfRule>
  </conditionalFormatting>
  <conditionalFormatting sqref="G89">
    <cfRule type="cellIs" dxfId="133" priority="154" operator="equal">
      <formula>"Fail"</formula>
    </cfRule>
  </conditionalFormatting>
  <conditionalFormatting sqref="L92">
    <cfRule type="cellIs" dxfId="132" priority="151" operator="equal">
      <formula>"Fail"</formula>
    </cfRule>
  </conditionalFormatting>
  <conditionalFormatting sqref="G92">
    <cfRule type="cellIs" dxfId="131" priority="152" operator="equal">
      <formula>"Fail"</formula>
    </cfRule>
  </conditionalFormatting>
  <conditionalFormatting sqref="L93">
    <cfRule type="cellIs" dxfId="130" priority="149" operator="equal">
      <formula>"Fail"</formula>
    </cfRule>
  </conditionalFormatting>
  <conditionalFormatting sqref="G93">
    <cfRule type="cellIs" dxfId="129" priority="150" operator="equal">
      <formula>"Fail"</formula>
    </cfRule>
  </conditionalFormatting>
  <conditionalFormatting sqref="L99">
    <cfRule type="cellIs" dxfId="128" priority="147" operator="equal">
      <formula>"Fail"</formula>
    </cfRule>
  </conditionalFormatting>
  <conditionalFormatting sqref="G99">
    <cfRule type="cellIs" dxfId="127" priority="148" operator="equal">
      <formula>"Fail"</formula>
    </cfRule>
  </conditionalFormatting>
  <conditionalFormatting sqref="L100">
    <cfRule type="cellIs" dxfId="126" priority="145" operator="equal">
      <formula>"Fail"</formula>
    </cfRule>
  </conditionalFormatting>
  <conditionalFormatting sqref="G100">
    <cfRule type="cellIs" dxfId="125" priority="146" operator="equal">
      <formula>"Fail"</formula>
    </cfRule>
  </conditionalFormatting>
  <conditionalFormatting sqref="L102">
    <cfRule type="cellIs" dxfId="124" priority="143" operator="equal">
      <formula>"Fail"</formula>
    </cfRule>
  </conditionalFormatting>
  <conditionalFormatting sqref="G102">
    <cfRule type="cellIs" dxfId="123" priority="144" operator="equal">
      <formula>"Fail"</formula>
    </cfRule>
  </conditionalFormatting>
  <conditionalFormatting sqref="L103">
    <cfRule type="cellIs" dxfId="122" priority="141" operator="equal">
      <formula>"Fail"</formula>
    </cfRule>
  </conditionalFormatting>
  <conditionalFormatting sqref="G103">
    <cfRule type="cellIs" dxfId="121" priority="142" operator="equal">
      <formula>"Fail"</formula>
    </cfRule>
  </conditionalFormatting>
  <conditionalFormatting sqref="L85">
    <cfRule type="cellIs" dxfId="120" priority="139" operator="equal">
      <formula>"Fail"</formula>
    </cfRule>
  </conditionalFormatting>
  <conditionalFormatting sqref="G85">
    <cfRule type="cellIs" dxfId="119" priority="140" operator="equal">
      <formula>"Fail"</formula>
    </cfRule>
  </conditionalFormatting>
  <conditionalFormatting sqref="L86">
    <cfRule type="cellIs" dxfId="118" priority="137" operator="equal">
      <formula>"Fail"</formula>
    </cfRule>
  </conditionalFormatting>
  <conditionalFormatting sqref="G86">
    <cfRule type="cellIs" dxfId="117" priority="138" operator="equal">
      <formula>"Fail"</formula>
    </cfRule>
  </conditionalFormatting>
  <conditionalFormatting sqref="L110">
    <cfRule type="cellIs" dxfId="116" priority="133" operator="equal">
      <formula>"Fail"</formula>
    </cfRule>
  </conditionalFormatting>
  <conditionalFormatting sqref="G110">
    <cfRule type="cellIs" dxfId="115" priority="134" operator="equal">
      <formula>"Fail"</formula>
    </cfRule>
  </conditionalFormatting>
  <conditionalFormatting sqref="L128">
    <cfRule type="cellIs" dxfId="114" priority="129" operator="equal">
      <formula>"Fail"</formula>
    </cfRule>
  </conditionalFormatting>
  <conditionalFormatting sqref="G128">
    <cfRule type="cellIs" dxfId="113" priority="130" operator="equal">
      <formula>"Fail"</formula>
    </cfRule>
  </conditionalFormatting>
  <conditionalFormatting sqref="G143 L143">
    <cfRule type="cellIs" dxfId="112" priority="127" operator="equal">
      <formula>"Fail"</formula>
    </cfRule>
  </conditionalFormatting>
  <conditionalFormatting sqref="G131:G142 L131:L142">
    <cfRule type="cellIs" dxfId="111" priority="124" operator="equal">
      <formula>"Fail"</formula>
    </cfRule>
  </conditionalFormatting>
  <conditionalFormatting sqref="G145 L145">
    <cfRule type="cellIs" dxfId="110" priority="123" operator="equal">
      <formula>"Fail"</formula>
    </cfRule>
  </conditionalFormatting>
  <conditionalFormatting sqref="G149:G160 L149:L160">
    <cfRule type="cellIs" dxfId="109" priority="122" operator="equal">
      <formula>"Fail"</formula>
    </cfRule>
  </conditionalFormatting>
  <conditionalFormatting sqref="G148 L148">
    <cfRule type="cellIs" dxfId="108" priority="121" operator="equal">
      <formula>"Fail"</formula>
    </cfRule>
  </conditionalFormatting>
  <conditionalFormatting sqref="G163 L163">
    <cfRule type="cellIs" dxfId="107" priority="120" operator="equal">
      <formula>"Fail"</formula>
    </cfRule>
  </conditionalFormatting>
  <conditionalFormatting sqref="G162 L162">
    <cfRule type="cellIs" dxfId="106" priority="119" operator="equal">
      <formula>"Fail"</formula>
    </cfRule>
  </conditionalFormatting>
  <conditionalFormatting sqref="G166 L166">
    <cfRule type="cellIs" dxfId="105" priority="118" operator="equal">
      <formula>"Fail"</formula>
    </cfRule>
  </conditionalFormatting>
  <conditionalFormatting sqref="G165 L165">
    <cfRule type="cellIs" dxfId="104" priority="117" operator="equal">
      <formula>"Fail"</formula>
    </cfRule>
  </conditionalFormatting>
  <conditionalFormatting sqref="G171 L171">
    <cfRule type="cellIs" dxfId="103" priority="116" operator="equal">
      <formula>"Fail"</formula>
    </cfRule>
  </conditionalFormatting>
  <conditionalFormatting sqref="G175 L175">
    <cfRule type="cellIs" dxfId="102" priority="115" operator="equal">
      <formula>"Fail"</formula>
    </cfRule>
  </conditionalFormatting>
  <conditionalFormatting sqref="G214 L214">
    <cfRule type="cellIs" dxfId="101" priority="114" operator="equal">
      <formula>"Fail"</formula>
    </cfRule>
  </conditionalFormatting>
  <conditionalFormatting sqref="L212">
    <cfRule type="cellIs" dxfId="100" priority="112" operator="equal">
      <formula>"Fail"</formula>
    </cfRule>
  </conditionalFormatting>
  <conditionalFormatting sqref="G212">
    <cfRule type="cellIs" dxfId="99" priority="113" operator="equal">
      <formula>"Fail"</formula>
    </cfRule>
  </conditionalFormatting>
  <conditionalFormatting sqref="G213 L213">
    <cfRule type="cellIs" dxfId="98" priority="111" operator="equal">
      <formula>"Fail"</formula>
    </cfRule>
  </conditionalFormatting>
  <conditionalFormatting sqref="L217">
    <cfRule type="cellIs" dxfId="97" priority="110" operator="equal">
      <formula>"Fail"</formula>
    </cfRule>
  </conditionalFormatting>
  <conditionalFormatting sqref="G216 L216">
    <cfRule type="cellIs" dxfId="96" priority="109" operator="equal">
      <formula>"Fail"</formula>
    </cfRule>
  </conditionalFormatting>
  <conditionalFormatting sqref="L224">
    <cfRule type="cellIs" dxfId="95" priority="108" operator="equal">
      <formula>"Fail"</formula>
    </cfRule>
  </conditionalFormatting>
  <conditionalFormatting sqref="G223 L223">
    <cfRule type="cellIs" dxfId="94" priority="107" operator="equal">
      <formula>"Fail"</formula>
    </cfRule>
  </conditionalFormatting>
  <conditionalFormatting sqref="L227">
    <cfRule type="cellIs" dxfId="93" priority="106" operator="equal">
      <formula>"Fail"</formula>
    </cfRule>
  </conditionalFormatting>
  <conditionalFormatting sqref="G226 L226">
    <cfRule type="cellIs" dxfId="92" priority="105" operator="equal">
      <formula>"Fail"</formula>
    </cfRule>
  </conditionalFormatting>
  <conditionalFormatting sqref="L242">
    <cfRule type="cellIs" dxfId="91" priority="104" operator="equal">
      <formula>"Fail"</formula>
    </cfRule>
  </conditionalFormatting>
  <conditionalFormatting sqref="G241 L241">
    <cfRule type="cellIs" dxfId="90" priority="103" operator="equal">
      <formula>"Fail"</formula>
    </cfRule>
  </conditionalFormatting>
  <conditionalFormatting sqref="L245">
    <cfRule type="cellIs" dxfId="89" priority="102" operator="equal">
      <formula>"Fail"</formula>
    </cfRule>
  </conditionalFormatting>
  <conditionalFormatting sqref="G244 L244">
    <cfRule type="cellIs" dxfId="88" priority="101" operator="equal">
      <formula>"Fail"</formula>
    </cfRule>
  </conditionalFormatting>
  <conditionalFormatting sqref="L248">
    <cfRule type="cellIs" dxfId="87" priority="100" operator="equal">
      <formula>"Fail"</formula>
    </cfRule>
  </conditionalFormatting>
  <conditionalFormatting sqref="G247 L247">
    <cfRule type="cellIs" dxfId="86" priority="99" operator="equal">
      <formula>"Fail"</formula>
    </cfRule>
  </conditionalFormatting>
  <conditionalFormatting sqref="L256">
    <cfRule type="cellIs" dxfId="85" priority="98" operator="equal">
      <formula>"Fail"</formula>
    </cfRule>
  </conditionalFormatting>
  <conditionalFormatting sqref="G255 L255">
    <cfRule type="cellIs" dxfId="84" priority="97" operator="equal">
      <formula>"Fail"</formula>
    </cfRule>
  </conditionalFormatting>
  <conditionalFormatting sqref="L261">
    <cfRule type="cellIs" dxfId="83" priority="96" operator="equal">
      <formula>"Fail"</formula>
    </cfRule>
  </conditionalFormatting>
  <conditionalFormatting sqref="G260 L260">
    <cfRule type="cellIs" dxfId="82" priority="95" operator="equal">
      <formula>"Fail"</formula>
    </cfRule>
  </conditionalFormatting>
  <conditionalFormatting sqref="G263 L263">
    <cfRule type="cellIs" dxfId="81" priority="94" operator="equal">
      <formula>"Fail"</formula>
    </cfRule>
  </conditionalFormatting>
  <conditionalFormatting sqref="G268 L268">
    <cfRule type="cellIs" dxfId="80" priority="93" operator="equal">
      <formula>"Fail"</formula>
    </cfRule>
  </conditionalFormatting>
  <conditionalFormatting sqref="L266">
    <cfRule type="cellIs" dxfId="79" priority="91" operator="equal">
      <formula>"Fail"</formula>
    </cfRule>
  </conditionalFormatting>
  <conditionalFormatting sqref="G266">
    <cfRule type="cellIs" dxfId="78" priority="92" operator="equal">
      <formula>"Fail"</formula>
    </cfRule>
  </conditionalFormatting>
  <conditionalFormatting sqref="G267 L267">
    <cfRule type="cellIs" dxfId="77" priority="90" operator="equal">
      <formula>"Fail"</formula>
    </cfRule>
  </conditionalFormatting>
  <conditionalFormatting sqref="G272 L272">
    <cfRule type="cellIs" dxfId="76" priority="87" operator="equal">
      <formula>"Fail"</formula>
    </cfRule>
  </conditionalFormatting>
  <conditionalFormatting sqref="G277:G279 L277:L279">
    <cfRule type="cellIs" dxfId="75" priority="86" operator="equal">
      <formula>"Fail"</formula>
    </cfRule>
  </conditionalFormatting>
  <conditionalFormatting sqref="G276 L276">
    <cfRule type="cellIs" dxfId="74" priority="85" operator="equal">
      <formula>"Fail"</formula>
    </cfRule>
  </conditionalFormatting>
  <conditionalFormatting sqref="G284 L284">
    <cfRule type="cellIs" dxfId="73" priority="84" operator="equal">
      <formula>"Fail"</formula>
    </cfRule>
  </conditionalFormatting>
  <conditionalFormatting sqref="G283 L283">
    <cfRule type="cellIs" dxfId="72" priority="83" operator="equal">
      <formula>"Fail"</formula>
    </cfRule>
  </conditionalFormatting>
  <conditionalFormatting sqref="G290 L290">
    <cfRule type="cellIs" dxfId="71" priority="82" operator="equal">
      <formula>"Fail"</formula>
    </cfRule>
  </conditionalFormatting>
  <conditionalFormatting sqref="G289 L289">
    <cfRule type="cellIs" dxfId="70" priority="81" operator="equal">
      <formula>"Fail"</formula>
    </cfRule>
  </conditionalFormatting>
  <conditionalFormatting sqref="G293 L293">
    <cfRule type="cellIs" dxfId="69" priority="80" operator="equal">
      <formula>"Fail"</formula>
    </cfRule>
  </conditionalFormatting>
  <conditionalFormatting sqref="G292 L292">
    <cfRule type="cellIs" dxfId="68" priority="79" operator="equal">
      <formula>"Fail"</formula>
    </cfRule>
  </conditionalFormatting>
  <conditionalFormatting sqref="G296 L296">
    <cfRule type="cellIs" dxfId="67" priority="78" operator="equal">
      <formula>"Fail"</formula>
    </cfRule>
  </conditionalFormatting>
  <conditionalFormatting sqref="G295 L295">
    <cfRule type="cellIs" dxfId="66" priority="77" operator="equal">
      <formula>"Fail"</formula>
    </cfRule>
  </conditionalFormatting>
  <conditionalFormatting sqref="G298 L298">
    <cfRule type="cellIs" dxfId="65" priority="75" operator="equal">
      <formula>"Fail"</formula>
    </cfRule>
  </conditionalFormatting>
  <conditionalFormatting sqref="G307 L307">
    <cfRule type="cellIs" dxfId="64" priority="72" operator="equal">
      <formula>"Fail"</formula>
    </cfRule>
  </conditionalFormatting>
  <conditionalFormatting sqref="G299 L299">
    <cfRule type="cellIs" dxfId="63" priority="74" operator="equal">
      <formula>"Fail"</formula>
    </cfRule>
  </conditionalFormatting>
  <conditionalFormatting sqref="G309 L309">
    <cfRule type="cellIs" dxfId="62" priority="73" operator="equal">
      <formula>"Fail"</formula>
    </cfRule>
  </conditionalFormatting>
  <conditionalFormatting sqref="G308 L308">
    <cfRule type="cellIs" dxfId="61" priority="71" operator="equal">
      <formula>"Fail"</formula>
    </cfRule>
  </conditionalFormatting>
  <conditionalFormatting sqref="G302 L302">
    <cfRule type="cellIs" dxfId="60" priority="70" operator="equal">
      <formula>"Fail"</formula>
    </cfRule>
  </conditionalFormatting>
  <conditionalFormatting sqref="G303 L303">
    <cfRule type="cellIs" dxfId="59" priority="69" operator="equal">
      <formula>"Fail"</formula>
    </cfRule>
  </conditionalFormatting>
  <conditionalFormatting sqref="G311 L311">
    <cfRule type="cellIs" dxfId="58" priority="68" operator="equal">
      <formula>"Fail"</formula>
    </cfRule>
  </conditionalFormatting>
  <conditionalFormatting sqref="G312 L312">
    <cfRule type="cellIs" dxfId="57" priority="67" operator="equal">
      <formula>"Fail"</formula>
    </cfRule>
  </conditionalFormatting>
  <conditionalFormatting sqref="G316 L316">
    <cfRule type="cellIs" dxfId="56" priority="66" operator="equal">
      <formula>"Fail"</formula>
    </cfRule>
  </conditionalFormatting>
  <conditionalFormatting sqref="G317 L317">
    <cfRule type="cellIs" dxfId="55" priority="65" operator="equal">
      <formula>"Fail"</formula>
    </cfRule>
  </conditionalFormatting>
  <conditionalFormatting sqref="G319 L319">
    <cfRule type="cellIs" dxfId="54" priority="64" operator="equal">
      <formula>"Fail"</formula>
    </cfRule>
  </conditionalFormatting>
  <conditionalFormatting sqref="G320 L320">
    <cfRule type="cellIs" dxfId="53" priority="63" operator="equal">
      <formula>"Fail"</formula>
    </cfRule>
  </conditionalFormatting>
  <conditionalFormatting sqref="L325">
    <cfRule type="cellIs" dxfId="52" priority="61" operator="equal">
      <formula>"Fail"</formula>
    </cfRule>
  </conditionalFormatting>
  <conditionalFormatting sqref="G325">
    <cfRule type="cellIs" dxfId="51" priority="62" operator="equal">
      <formula>"Fail"</formula>
    </cfRule>
  </conditionalFormatting>
  <conditionalFormatting sqref="L335">
    <cfRule type="cellIs" dxfId="50" priority="53" operator="equal">
      <formula>"Fail"</formula>
    </cfRule>
  </conditionalFormatting>
  <conditionalFormatting sqref="G335">
    <cfRule type="cellIs" dxfId="49" priority="54" operator="equal">
      <formula>"Fail"</formula>
    </cfRule>
  </conditionalFormatting>
  <conditionalFormatting sqref="L336">
    <cfRule type="cellIs" dxfId="48" priority="57" operator="equal">
      <formula>"Fail"</formula>
    </cfRule>
  </conditionalFormatting>
  <conditionalFormatting sqref="G336:G338">
    <cfRule type="cellIs" dxfId="47" priority="58" operator="equal">
      <formula>"Fail"</formula>
    </cfRule>
  </conditionalFormatting>
  <conditionalFormatting sqref="L332">
    <cfRule type="cellIs" dxfId="46" priority="55" operator="equal">
      <formula>"Fail"</formula>
    </cfRule>
  </conditionalFormatting>
  <conditionalFormatting sqref="G332">
    <cfRule type="cellIs" dxfId="45" priority="56" operator="equal">
      <formula>"Fail"</formula>
    </cfRule>
  </conditionalFormatting>
  <conditionalFormatting sqref="G327:G331 L327:L331">
    <cfRule type="cellIs" dxfId="44" priority="52" operator="equal">
      <formula>"Fail"</formula>
    </cfRule>
  </conditionalFormatting>
  <conditionalFormatting sqref="L356">
    <cfRule type="cellIs" dxfId="43" priority="50" operator="equal">
      <formula>"Fail"</formula>
    </cfRule>
  </conditionalFormatting>
  <conditionalFormatting sqref="G356">
    <cfRule type="cellIs" dxfId="42" priority="51" operator="equal">
      <formula>"Fail"</formula>
    </cfRule>
  </conditionalFormatting>
  <conditionalFormatting sqref="G365 L365">
    <cfRule type="cellIs" dxfId="41" priority="49" operator="equal">
      <formula>"Fail"</formula>
    </cfRule>
  </conditionalFormatting>
  <conditionalFormatting sqref="G366:G367 G369:G370 L367">
    <cfRule type="cellIs" dxfId="40" priority="48" operator="equal">
      <formula>"Fail"</formula>
    </cfRule>
  </conditionalFormatting>
  <conditionalFormatting sqref="G368 L368">
    <cfRule type="cellIs" dxfId="39" priority="47" operator="equal">
      <formula>"Fail"</formula>
    </cfRule>
  </conditionalFormatting>
  <conditionalFormatting sqref="G372 L372">
    <cfRule type="cellIs" dxfId="38" priority="45" operator="equal">
      <formula>"Fail"</formula>
    </cfRule>
  </conditionalFormatting>
  <conditionalFormatting sqref="G388 K388">
    <cfRule type="cellIs" dxfId="37" priority="43" operator="equal">
      <formula>"Fail"</formula>
    </cfRule>
  </conditionalFormatting>
  <conditionalFormatting sqref="G390 L390">
    <cfRule type="cellIs" dxfId="36" priority="41" operator="equal">
      <formula>"Fail"</formula>
    </cfRule>
  </conditionalFormatting>
  <conditionalFormatting sqref="G371 L371">
    <cfRule type="cellIs" dxfId="35" priority="40" operator="equal">
      <formula>"Fail"</formula>
    </cfRule>
  </conditionalFormatting>
  <conditionalFormatting sqref="G387 L387">
    <cfRule type="cellIs" dxfId="34" priority="39" operator="equal">
      <formula>"Fail"</formula>
    </cfRule>
  </conditionalFormatting>
  <conditionalFormatting sqref="L369">
    <cfRule type="cellIs" dxfId="33" priority="38" operator="equal">
      <formula>"Fail"</formula>
    </cfRule>
  </conditionalFormatting>
  <conditionalFormatting sqref="K396">
    <cfRule type="cellIs" dxfId="32" priority="36" operator="equal">
      <formula>"Fail"</formula>
    </cfRule>
  </conditionalFormatting>
  <conditionalFormatting sqref="K397">
    <cfRule type="cellIs" dxfId="31" priority="35" operator="equal">
      <formula>"Fail"</formula>
    </cfRule>
  </conditionalFormatting>
  <conditionalFormatting sqref="M64:M67 M69">
    <cfRule type="cellIs" dxfId="30" priority="34" operator="equal">
      <formula>"Fail"</formula>
    </cfRule>
  </conditionalFormatting>
  <conditionalFormatting sqref="M60 M62:M63">
    <cfRule type="cellIs" dxfId="29" priority="33" operator="equal">
      <formula>"Fail"</formula>
    </cfRule>
  </conditionalFormatting>
  <conditionalFormatting sqref="M101">
    <cfRule type="cellIs" dxfId="28" priority="32" operator="equal">
      <formula>"Fail"</formula>
    </cfRule>
  </conditionalFormatting>
  <conditionalFormatting sqref="M100">
    <cfRule type="cellIs" dxfId="27" priority="31" operator="equal">
      <formula>"Fail"</formula>
    </cfRule>
  </conditionalFormatting>
  <conditionalFormatting sqref="M102">
    <cfRule type="cellIs" dxfId="26" priority="30" operator="equal">
      <formula>"Fail"</formula>
    </cfRule>
  </conditionalFormatting>
  <conditionalFormatting sqref="M103">
    <cfRule type="cellIs" dxfId="25" priority="29" operator="equal">
      <formula>"Fail"</formula>
    </cfRule>
  </conditionalFormatting>
  <conditionalFormatting sqref="G181 L181">
    <cfRule type="cellIs" dxfId="24" priority="28" operator="equal">
      <formula>"Fail"</formula>
    </cfRule>
  </conditionalFormatting>
  <conditionalFormatting sqref="G227:G239">
    <cfRule type="cellIs" dxfId="23" priority="27" operator="equal">
      <formula>"Fail"</formula>
    </cfRule>
  </conditionalFormatting>
  <conditionalFormatting sqref="G242">
    <cfRule type="cellIs" dxfId="22" priority="26" operator="equal">
      <formula>"Fail"</formula>
    </cfRule>
  </conditionalFormatting>
  <conditionalFormatting sqref="G245">
    <cfRule type="cellIs" dxfId="21" priority="25" operator="equal">
      <formula>"Fail"</formula>
    </cfRule>
  </conditionalFormatting>
  <conditionalFormatting sqref="G248:G253">
    <cfRule type="cellIs" dxfId="20" priority="24" operator="equal">
      <formula>"Fail"</formula>
    </cfRule>
  </conditionalFormatting>
  <conditionalFormatting sqref="G256:G259">
    <cfRule type="cellIs" dxfId="19" priority="23" operator="equal">
      <formula>"Fail"</formula>
    </cfRule>
  </conditionalFormatting>
  <conditionalFormatting sqref="G261">
    <cfRule type="cellIs" dxfId="18" priority="22" operator="equal">
      <formula>"Fail"</formula>
    </cfRule>
  </conditionalFormatting>
  <conditionalFormatting sqref="G262">
    <cfRule type="cellIs" dxfId="17" priority="21" operator="equal">
      <formula>"Fail"</formula>
    </cfRule>
  </conditionalFormatting>
  <conditionalFormatting sqref="G269 L269">
    <cfRule type="cellIs" dxfId="16" priority="20" operator="equal">
      <formula>"Fail"</formula>
    </cfRule>
  </conditionalFormatting>
  <conditionalFormatting sqref="G326 L326">
    <cfRule type="cellIs" dxfId="15" priority="19" operator="equal">
      <formula>"Fail"</formula>
    </cfRule>
  </conditionalFormatting>
  <conditionalFormatting sqref="G411">
    <cfRule type="cellIs" dxfId="14" priority="18" operator="equal">
      <formula>"Fail"</formula>
    </cfRule>
  </conditionalFormatting>
  <conditionalFormatting sqref="G400 L400">
    <cfRule type="cellIs" dxfId="13" priority="14" operator="equal">
      <formula>"Fail"</formula>
    </cfRule>
  </conditionalFormatting>
  <conditionalFormatting sqref="G399 L399">
    <cfRule type="cellIs" dxfId="12" priority="16" operator="equal">
      <formula>"Fail"</formula>
    </cfRule>
  </conditionalFormatting>
  <conditionalFormatting sqref="G412 L412">
    <cfRule type="cellIs" dxfId="11" priority="8" operator="equal">
      <formula>"Fail"</formula>
    </cfRule>
  </conditionalFormatting>
  <conditionalFormatting sqref="G401:G405 G413:G415">
    <cfRule type="cellIs" dxfId="10" priority="13" operator="equal">
      <formula>"Fail"</formula>
    </cfRule>
  </conditionalFormatting>
  <conditionalFormatting sqref="K402 K405">
    <cfRule type="cellIs" dxfId="9" priority="12" operator="equal">
      <formula>"Fail"</formula>
    </cfRule>
  </conditionalFormatting>
  <conditionalFormatting sqref="G406 L406">
    <cfRule type="cellIs" dxfId="8" priority="11" operator="equal">
      <formula>"Fail"</formula>
    </cfRule>
  </conditionalFormatting>
  <conditionalFormatting sqref="G407:G410">
    <cfRule type="cellIs" dxfId="7" priority="10" operator="equal">
      <formula>"Fail"</formula>
    </cfRule>
  </conditionalFormatting>
  <conditionalFormatting sqref="K408">
    <cfRule type="cellIs" dxfId="6" priority="9" operator="equal">
      <formula>"Fail"</formula>
    </cfRule>
  </conditionalFormatting>
  <conditionalFormatting sqref="K414">
    <cfRule type="cellIs" dxfId="5" priority="6" operator="equal">
      <formula>"Fail"</formula>
    </cfRule>
  </conditionalFormatting>
  <conditionalFormatting sqref="F26:F27 F28:G35 G12:G23 G25:G27">
    <cfRule type="cellIs" dxfId="4" priority="3" operator="equal">
      <formula>"Fail"</formula>
    </cfRule>
  </conditionalFormatting>
  <conditionalFormatting sqref="F25">
    <cfRule type="cellIs" dxfId="3" priority="4" operator="equal">
      <formula>"Fail"</formula>
    </cfRule>
  </conditionalFormatting>
  <conditionalFormatting sqref="G24">
    <cfRule type="cellIs" dxfId="2" priority="5" operator="equal">
      <formula>"Fail"</formula>
    </cfRule>
  </conditionalFormatting>
  <conditionalFormatting sqref="G217:G221">
    <cfRule type="cellIs" dxfId="1" priority="2" operator="equal">
      <formula>"Fail"</formula>
    </cfRule>
  </conditionalFormatting>
  <conditionalFormatting sqref="G264">
    <cfRule type="cellIs" dxfId="0" priority="1" operator="equal">
      <formula>"Fail"</formula>
    </cfRule>
  </conditionalFormatting>
  <hyperlinks>
    <hyperlink ref="C12" r:id="rId1"/>
    <hyperlink ref="C19" r:id="rId2"/>
  </hyperlinks>
  <pageMargins left="0.7" right="0.7" top="0.75" bottom="0.75" header="0.3" footer="0.3"/>
  <pageSetup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D13" sqref="D13"/>
    </sheetView>
  </sheetViews>
  <sheetFormatPr defaultColWidth="9"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election activeCell="A22" sqref="A22:A23"/>
    </sheetView>
  </sheetViews>
  <sheetFormatPr defaultColWidth="9" defaultRowHeight="15"/>
  <cols>
    <col min="1" max="1" width="94.5703125" customWidth="1"/>
  </cols>
  <sheetData>
    <row r="1" spans="1:1" ht="45" customHeight="1">
      <c r="A1" s="1" t="s">
        <v>1175</v>
      </c>
    </row>
    <row r="2" spans="1:1" ht="60" customHeight="1">
      <c r="A2" s="2" t="s">
        <v>1176</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Checklist</vt:lpstr>
      <vt:lpstr>Khác</vt:lpstr>
      <vt:lpstr>Trường hợp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Tran Quang Truong (PQA)</cp:lastModifiedBy>
  <dcterms:created xsi:type="dcterms:W3CDTF">2024-04-19T08:44:00Z</dcterms:created>
  <dcterms:modified xsi:type="dcterms:W3CDTF">2025-12-30T03:41:31Z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DE8F8A44750A4B53B27F8E3FEF245746_12</vt:lpwstr>
  </property>
  <property fmtid="{D5CDD505-2E9C-101B-9397-08002B2CF9AE}" pid="3" name="KSOProductBuildVer">
    <vt:lpwstr>1033-12.2.0.22549</vt:lpwstr>
  </property>
</Properties>
</file>